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\OneDrive\Desktop\Projects\Business Analytics with Excel\"/>
    </mc:Choice>
  </mc:AlternateContent>
  <xr:revisionPtr revIDLastSave="0" documentId="13_ncr:1_{6F684326-2C29-4EF6-968E-5B9B3F50120A}" xr6:coauthVersionLast="47" xr6:coauthVersionMax="47" xr10:uidLastSave="{00000000-0000-0000-0000-000000000000}"/>
  <bookViews>
    <workbookView xWindow="-120" yWindow="-120" windowWidth="20730" windowHeight="11310" xr2:uid="{B49CCBDD-0222-4E77-91FF-F4B72DEDEA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H8" i="1"/>
  <c r="I8" i="1"/>
  <c r="G8" i="1"/>
  <c r="H3" i="1"/>
  <c r="I3" i="1"/>
  <c r="H4" i="1"/>
  <c r="I4" i="1"/>
  <c r="H5" i="1"/>
  <c r="I5" i="1"/>
  <c r="H6" i="1"/>
  <c r="I6" i="1"/>
  <c r="H7" i="1"/>
  <c r="I7" i="1"/>
  <c r="G4" i="1"/>
  <c r="G5" i="1"/>
  <c r="G6" i="1"/>
  <c r="G7" i="1"/>
  <c r="G3" i="1"/>
  <c r="F4" i="1"/>
  <c r="F5" i="1"/>
  <c r="F6" i="1"/>
  <c r="F7" i="1"/>
  <c r="F3" i="1"/>
  <c r="E4" i="1"/>
  <c r="E5" i="1"/>
  <c r="E6" i="1"/>
  <c r="E7" i="1"/>
  <c r="E3" i="1"/>
  <c r="D4" i="1"/>
  <c r="D5" i="1"/>
  <c r="D6" i="1"/>
  <c r="D7" i="1"/>
  <c r="D3" i="1"/>
</calcChain>
</file>

<file path=xl/sharedStrings.xml><?xml version="1.0" encoding="utf-8"?>
<sst xmlns="http://schemas.openxmlformats.org/spreadsheetml/2006/main" count="25" uniqueCount="20">
  <si>
    <t>Year</t>
  </si>
  <si>
    <t>Revenue (millions of USD)</t>
  </si>
  <si>
    <t>Year Number</t>
  </si>
  <si>
    <t>Busniess model:</t>
  </si>
  <si>
    <t>Power: ax^b</t>
  </si>
  <si>
    <t>Constant(a):</t>
  </si>
  <si>
    <t>Exponent(b):</t>
  </si>
  <si>
    <t>Exponent: ae^(bx)</t>
  </si>
  <si>
    <t>Power</t>
  </si>
  <si>
    <t>Exponential</t>
  </si>
  <si>
    <t>Linear: mx+b</t>
  </si>
  <si>
    <t>Intercept(b):</t>
  </si>
  <si>
    <t>Slope(m):</t>
  </si>
  <si>
    <t>Linear</t>
  </si>
  <si>
    <t>Actual Data</t>
  </si>
  <si>
    <t>Forecast</t>
  </si>
  <si>
    <t>Absolute Error Percentage</t>
  </si>
  <si>
    <t>MAPE:</t>
  </si>
  <si>
    <t>&lt;-- Use smallest Value Model</t>
  </si>
  <si>
    <t>Revenue in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</si>
</sst>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5" formatCode="_ [$₹-4009]\ * #,##0.00_ ;_ [$₹-4009]\ * \-#,##0.00_ ;_ [$₹-4009]\ * &quot;-&quot;??_ ;_ @_ "/>
    <numFmt numFmtId="176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D0D0D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1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4" fontId="2" fillId="0" borderId="0" xfId="0" applyNumberFormat="1" applyFont="1"/>
    <xf numFmtId="0" fontId="0" fillId="3" borderId="4" xfId="0" applyFill="1" applyBorder="1" applyAlignment="1">
      <alignment horizontal="center"/>
    </xf>
    <xf numFmtId="1" fontId="0" fillId="3" borderId="0" xfId="0" applyNumberFormat="1" applyFill="1" applyBorder="1"/>
    <xf numFmtId="175" fontId="0" fillId="3" borderId="5" xfId="0" applyNumberForma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" fontId="0" fillId="3" borderId="7" xfId="0" applyNumberFormat="1" applyFill="1" applyBorder="1"/>
    <xf numFmtId="175" fontId="0" fillId="3" borderId="8" xfId="0" applyNumberFormat="1" applyFill="1" applyBorder="1" applyAlignment="1">
      <alignment horizontal="center"/>
    </xf>
    <xf numFmtId="175" fontId="0" fillId="4" borderId="4" xfId="0" applyNumberFormat="1" applyFill="1" applyBorder="1"/>
    <xf numFmtId="175" fontId="0" fillId="4" borderId="0" xfId="0" applyNumberFormat="1" applyFill="1" applyBorder="1"/>
    <xf numFmtId="0" fontId="0" fillId="4" borderId="0" xfId="0" applyFill="1" applyBorder="1"/>
    <xf numFmtId="175" fontId="0" fillId="4" borderId="6" xfId="0" applyNumberFormat="1" applyFill="1" applyBorder="1"/>
    <xf numFmtId="175" fontId="0" fillId="4" borderId="7" xfId="0" applyNumberFormat="1" applyFill="1" applyBorder="1"/>
    <xf numFmtId="0" fontId="0" fillId="4" borderId="7" xfId="0" applyFill="1" applyBorder="1"/>
    <xf numFmtId="176" fontId="0" fillId="5" borderId="4" xfId="2" applyNumberFormat="1" applyFont="1" applyFill="1" applyBorder="1"/>
    <xf numFmtId="176" fontId="0" fillId="5" borderId="0" xfId="2" applyNumberFormat="1" applyFont="1" applyFill="1" applyBorder="1"/>
    <xf numFmtId="176" fontId="0" fillId="5" borderId="5" xfId="2" applyNumberFormat="1" applyFont="1" applyFill="1" applyBorder="1"/>
    <xf numFmtId="176" fontId="0" fillId="5" borderId="6" xfId="2" applyNumberFormat="1" applyFont="1" applyFill="1" applyBorder="1"/>
    <xf numFmtId="176" fontId="0" fillId="5" borderId="7" xfId="2" applyNumberFormat="1" applyFont="1" applyFill="1" applyBorder="1"/>
    <xf numFmtId="176" fontId="0" fillId="5" borderId="8" xfId="2" applyNumberFormat="1" applyFont="1" applyFill="1" applyBorder="1"/>
    <xf numFmtId="0" fontId="1" fillId="6" borderId="1" xfId="1" applyFill="1" applyBorder="1" applyAlignment="1">
      <alignment horizontal="center"/>
    </xf>
    <xf numFmtId="0" fontId="1" fillId="6" borderId="2" xfId="1" applyFill="1" applyBorder="1" applyAlignment="1">
      <alignment horizontal="center"/>
    </xf>
    <xf numFmtId="0" fontId="1" fillId="6" borderId="3" xfId="1" applyFill="1" applyBorder="1" applyAlignment="1">
      <alignment horizontal="center"/>
    </xf>
    <xf numFmtId="0" fontId="1" fillId="7" borderId="1" xfId="1" applyFill="1" applyBorder="1" applyAlignment="1">
      <alignment horizontal="center"/>
    </xf>
    <xf numFmtId="0" fontId="1" fillId="7" borderId="2" xfId="1" applyFill="1" applyBorder="1" applyAlignment="1">
      <alignment horizontal="center"/>
    </xf>
    <xf numFmtId="0" fontId="1" fillId="8" borderId="1" xfId="1" applyFill="1" applyBorder="1" applyAlignment="1">
      <alignment horizontal="center"/>
    </xf>
    <xf numFmtId="0" fontId="1" fillId="8" borderId="2" xfId="1" applyFill="1" applyBorder="1" applyAlignment="1">
      <alignment horizontal="center"/>
    </xf>
    <xf numFmtId="0" fontId="1" fillId="8" borderId="3" xfId="1" applyFill="1" applyBorder="1" applyAlignment="1">
      <alignment horizontal="center"/>
    </xf>
    <xf numFmtId="176" fontId="0" fillId="0" borderId="0" xfId="0" applyNumberFormat="1"/>
    <xf numFmtId="176" fontId="0" fillId="9" borderId="0" xfId="0" applyNumberFormat="1" applyFill="1"/>
    <xf numFmtId="0" fontId="1" fillId="8" borderId="0" xfId="1" applyFill="1" applyBorder="1" applyAlignment="1">
      <alignment horizontal="center"/>
    </xf>
  </cellXfs>
  <cellStyles count="3">
    <cellStyle name="60% - Accent5" xfId="1" builtinId="4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(millions of USD) in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Revenue (millions of USD)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0.58790244969378824"/>
                  <c:y val="-0.18004009915427238"/>
                </c:manualLayout>
              </c:layout>
              <c:numFmt formatCode="#,##0.0000" sourceLinked="0"/>
              <c:spPr>
                <a:solidFill>
                  <a:schemeClr val="accent6">
                    <a:lumMod val="60000"/>
                    <a:lumOff val="4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0.16681977252843394"/>
                  <c:y val="-0.31951297754447361"/>
                </c:manualLayout>
              </c:layout>
              <c:numFmt formatCode="#,##0.0000" sourceLinked="0"/>
              <c:spPr>
                <a:solidFill>
                  <a:schemeClr val="accent2">
                    <a:lumMod val="60000"/>
                    <a:lumOff val="4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885100019868034"/>
                  <c:y val="-0.1569200204141149"/>
                </c:manualLayout>
              </c:layout>
              <c:numFmt formatCode="#,##0.00" sourceLinked="0"/>
              <c:spPr>
                <a:solidFill>
                  <a:schemeClr val="accent5">
                    <a:lumMod val="60000"/>
                    <a:lumOff val="4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Sheet1!$B$3:$B$7</c:f>
              <c:numCache>
                <c:formatCode>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Sheet1!$C$3:$C$7</c:f>
              <c:numCache>
                <c:formatCode>_ [$₹-4009]\ * #,##0.00_ ;_ [$₹-4009]\ * \-#,##0.00_ ;_ [$₹-4009]\ * "-"??_ ;_ @_ </c:formatCode>
                <c:ptCount val="5"/>
                <c:pt idx="0">
                  <c:v>218.6</c:v>
                </c:pt>
                <c:pt idx="1">
                  <c:v>435</c:v>
                </c:pt>
                <c:pt idx="2">
                  <c:v>915</c:v>
                </c:pt>
                <c:pt idx="3">
                  <c:v>1825.9</c:v>
                </c:pt>
                <c:pt idx="4">
                  <c:v>4021.8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47-4FE1-B08F-15CDDA08142C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1404729264"/>
        <c:axId val="1404718704"/>
      </c:scatterChart>
      <c:valAx>
        <c:axId val="140472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effectLst/>
                  </a:rPr>
                  <a:t>Year Number</a:t>
                </a:r>
                <a:r>
                  <a:rPr lang="en-IN" sz="1000" b="0" i="0" u="none" strike="noStrike" baseline="0"/>
                  <a:t>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718704"/>
        <c:crosses val="autoZero"/>
        <c:crossBetween val="midCat"/>
      </c:valAx>
      <c:valAx>
        <c:axId val="140471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effectLst/>
                  </a:rPr>
                  <a:t>Revenue (millions of USD)</a:t>
                </a:r>
                <a:r>
                  <a:rPr lang="en-IN" sz="1000" b="0" i="0" u="none" strike="noStrike" baseline="0"/>
                  <a:t>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729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Exponential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>
                    <a:alpha val="95000"/>
                  </a:schemeClr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Sheet1!$B$3:$B$7</c:f>
              <c:numCache>
                <c:formatCode>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Sheet1!$E$3:$E$7</c:f>
              <c:numCache>
                <c:formatCode>_ [$₹-4009]\ * #,##0.00_ ;_ [$₹-4009]\ * \-#,##0.00_ ;_ [$₹-4009]\ * "-"??_ ;_ @_ </c:formatCode>
                <c:ptCount val="5"/>
                <c:pt idx="0">
                  <c:v>214.08551796502749</c:v>
                </c:pt>
                <c:pt idx="1">
                  <c:v>442.42703219459605</c:v>
                </c:pt>
                <c:pt idx="2">
                  <c:v>914.31536648123028</c:v>
                </c:pt>
                <c:pt idx="3">
                  <c:v>1889.5151709808154</c:v>
                </c:pt>
                <c:pt idx="4">
                  <c:v>3904.8535245633461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DC-416C-B34C-1FA6B8A90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62559"/>
        <c:axId val="14764479"/>
      </c:scatterChart>
      <c:valAx>
        <c:axId val="14762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4479"/>
        <c:crosses val="autoZero"/>
        <c:crossBetween val="midCat"/>
      </c:valAx>
      <c:valAx>
        <c:axId val="1476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2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28575</xdr:colOff>
      <xdr:row>9</xdr:row>
      <xdr:rowOff>9525</xdr:rowOff>
    </xdr:from>
    <xdr:to>
      <xdr:col>24</xdr:col>
      <xdr:colOff>49242</xdr:colOff>
      <xdr:row>23</xdr:row>
      <xdr:rowOff>152792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2C40FA-7445-9A7F-BD1B-488F92C44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24550" y="1724025"/>
          <a:ext cx="11584017" cy="2810267"/>
        </a:xfrm>
        <a:prstGeom prst="rect">
          <a:avLst/>
        </a:prstGeom>
      </xdr:spPr>
    </xdr:pic>
    <xdr:clientData/>
  </xdr:twoCellAnchor>
  <xdr:twoCellAnchor>
    <xdr:from>
      <xdr:col>0</xdr:col>
      <xdr:colOff>404812</xdr:colOff>
      <xdr:row>13</xdr:row>
      <xdr:rowOff>52387</xdr:rowOff>
    </xdr:from>
    <xdr:to>
      <xdr:col>4</xdr:col>
      <xdr:colOff>719137</xdr:colOff>
      <xdr:row>27</xdr:row>
      <xdr:rowOff>128587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7A990F0-61F3-9E1B-81DC-76F827E68E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428625</xdr:colOff>
      <xdr:row>0</xdr:row>
      <xdr:rowOff>0</xdr:rowOff>
    </xdr:from>
    <xdr:to>
      <xdr:col>18</xdr:col>
      <xdr:colOff>528637</xdr:colOff>
      <xdr:row>8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8EA034-DC64-A154-E185-5AD4143A2C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6EF3-ADC8-461D-83F3-88DD2CED8F5A}">
  <dimension ref="A1:K12"/>
  <sheetViews>
    <sheetView tabSelected="1" topLeftCell="B16" workbookViewId="0">
      <selection activeCell="B2" activeCellId="1" sqref="E2:E7 B2:B7"/>
    </sheetView>
  </sheetViews>
  <sheetFormatPr defaultRowHeight="15" x14ac:dyDescent="0.25"/>
  <cols>
    <col min="1" max="1" width="15.5703125" bestFit="1" customWidth="1"/>
    <col min="2" max="2" width="12.5703125" bestFit="1" customWidth="1"/>
    <col min="3" max="3" width="24.5703125" bestFit="1" customWidth="1"/>
    <col min="4" max="4" width="14.28515625" bestFit="1" customWidth="1"/>
    <col min="5" max="5" width="12.28515625" bestFit="1" customWidth="1"/>
    <col min="8" max="8" width="11.5703125" bestFit="1" customWidth="1"/>
    <col min="11" max="11" width="15.5703125" bestFit="1" customWidth="1"/>
  </cols>
  <sheetData>
    <row r="1" spans="1:11" x14ac:dyDescent="0.25">
      <c r="A1" s="3" t="s">
        <v>14</v>
      </c>
      <c r="B1" s="3"/>
      <c r="C1" s="3"/>
      <c r="D1" s="3" t="s">
        <v>15</v>
      </c>
      <c r="E1" s="3"/>
      <c r="F1" s="3"/>
      <c r="G1" s="3" t="s">
        <v>16</v>
      </c>
      <c r="H1" s="3"/>
      <c r="I1" s="3"/>
    </row>
    <row r="2" spans="1:11" x14ac:dyDescent="0.25">
      <c r="A2" s="23" t="s">
        <v>0</v>
      </c>
      <c r="B2" s="24" t="s">
        <v>2</v>
      </c>
      <c r="C2" s="25" t="s">
        <v>1</v>
      </c>
      <c r="D2" s="26" t="s">
        <v>8</v>
      </c>
      <c r="E2" s="27" t="s">
        <v>9</v>
      </c>
      <c r="F2" s="27" t="s">
        <v>13</v>
      </c>
      <c r="G2" s="28" t="s">
        <v>8</v>
      </c>
      <c r="H2" s="29" t="s">
        <v>9</v>
      </c>
      <c r="I2" s="30" t="s">
        <v>13</v>
      </c>
      <c r="K2" s="33" t="s">
        <v>19</v>
      </c>
    </row>
    <row r="3" spans="1:11" x14ac:dyDescent="0.25">
      <c r="A3" s="5">
        <v>2017</v>
      </c>
      <c r="B3" s="6">
        <v>1</v>
      </c>
      <c r="C3" s="7">
        <v>218.6</v>
      </c>
      <c r="D3" s="11">
        <f>$B$11*B3^$B$12</f>
        <v>170.96950000000001</v>
      </c>
      <c r="E3" s="12">
        <f>$D$11*EXP(B3*$D$12)</f>
        <v>214.08551796502749</v>
      </c>
      <c r="F3" s="13">
        <f>$F$11*B3+$F$12</f>
        <v>-316.20000000000005</v>
      </c>
      <c r="G3" s="17">
        <f>ABS(D3-$C3)/$C3</f>
        <v>0.2178888380603842</v>
      </c>
      <c r="H3" s="18">
        <f t="shared" ref="H3:I7" si="0">ABS(E3-$C3)/$C3</f>
        <v>2.0651793389627183E-2</v>
      </c>
      <c r="I3" s="19">
        <f t="shared" si="0"/>
        <v>2.4464775846294606</v>
      </c>
      <c r="K3" s="1">
        <f>D11*EXP(D12*7)</f>
        <v>16676.829032171572</v>
      </c>
    </row>
    <row r="4" spans="1:11" x14ac:dyDescent="0.25">
      <c r="A4" s="5">
        <v>2018</v>
      </c>
      <c r="B4" s="6">
        <v>2</v>
      </c>
      <c r="C4" s="7">
        <v>435</v>
      </c>
      <c r="D4" s="11">
        <f t="shared" ref="D4:D7" si="1">$B$11*B4^$B$12</f>
        <v>575.50919526147595</v>
      </c>
      <c r="E4" s="12">
        <f t="shared" ref="E4:E7" si="2">$D$11*EXP(B4*$D$12)</f>
        <v>442.42703219459605</v>
      </c>
      <c r="F4" s="13">
        <f t="shared" ref="F4:F7" si="3">$F$11*B4+$F$12</f>
        <v>583.53</v>
      </c>
      <c r="G4" s="17">
        <f t="shared" ref="G4:G7" si="4">ABS(D4-$C4)/$C4</f>
        <v>0.32300964427925505</v>
      </c>
      <c r="H4" s="18">
        <f t="shared" si="0"/>
        <v>1.707363722895644E-2</v>
      </c>
      <c r="I4" s="19">
        <f t="shared" si="0"/>
        <v>0.34144827586206888</v>
      </c>
    </row>
    <row r="5" spans="1:11" x14ac:dyDescent="0.25">
      <c r="A5" s="5">
        <v>2019</v>
      </c>
      <c r="B5" s="6">
        <v>3</v>
      </c>
      <c r="C5" s="7">
        <v>915</v>
      </c>
      <c r="D5" s="11">
        <f t="shared" si="1"/>
        <v>1170.5923207143849</v>
      </c>
      <c r="E5" s="12">
        <f t="shared" si="2"/>
        <v>914.31536648123028</v>
      </c>
      <c r="F5" s="13">
        <f t="shared" si="3"/>
        <v>1483.26</v>
      </c>
      <c r="G5" s="17">
        <f t="shared" si="4"/>
        <v>0.2793358696332075</v>
      </c>
      <c r="H5" s="18">
        <f t="shared" si="0"/>
        <v>7.4823335384668302E-4</v>
      </c>
      <c r="I5" s="19">
        <f t="shared" si="0"/>
        <v>0.62104918032786882</v>
      </c>
    </row>
    <row r="6" spans="1:11" x14ac:dyDescent="0.25">
      <c r="A6" s="5">
        <v>2020</v>
      </c>
      <c r="B6" s="6">
        <v>4</v>
      </c>
      <c r="C6" s="7">
        <v>1825.9</v>
      </c>
      <c r="D6" s="11">
        <f t="shared" si="1"/>
        <v>1937.2509940691853</v>
      </c>
      <c r="E6" s="12">
        <f t="shared" si="2"/>
        <v>1889.5151709808154</v>
      </c>
      <c r="F6" s="13">
        <f t="shared" si="3"/>
        <v>2382.9899999999998</v>
      </c>
      <c r="G6" s="17">
        <f t="shared" si="4"/>
        <v>6.0984168940897726E-2</v>
      </c>
      <c r="H6" s="18">
        <f t="shared" si="0"/>
        <v>3.484044634471508E-2</v>
      </c>
      <c r="I6" s="19">
        <f t="shared" si="0"/>
        <v>0.30510433211019206</v>
      </c>
    </row>
    <row r="7" spans="1:11" x14ac:dyDescent="0.25">
      <c r="A7" s="8">
        <v>2021</v>
      </c>
      <c r="B7" s="9">
        <v>5</v>
      </c>
      <c r="C7" s="10">
        <v>4021.8</v>
      </c>
      <c r="D7" s="14">
        <f t="shared" si="1"/>
        <v>2863.4197505362399</v>
      </c>
      <c r="E7" s="15">
        <f t="shared" si="2"/>
        <v>3904.8535245633461</v>
      </c>
      <c r="F7" s="16">
        <f t="shared" si="3"/>
        <v>3282.7199999999993</v>
      </c>
      <c r="G7" s="20">
        <f t="shared" si="4"/>
        <v>0.28802532434824213</v>
      </c>
      <c r="H7" s="21">
        <f t="shared" si="0"/>
        <v>2.9078142979922932E-2</v>
      </c>
      <c r="I7" s="22">
        <f t="shared" si="0"/>
        <v>0.18376846188273926</v>
      </c>
    </row>
    <row r="8" spans="1:11" x14ac:dyDescent="0.25">
      <c r="F8" t="s">
        <v>17</v>
      </c>
      <c r="G8" s="31">
        <f>AVERAGE(G3:G7)</f>
        <v>0.23384876905239732</v>
      </c>
      <c r="H8" s="32">
        <f t="shared" ref="H8:I8" si="5">AVERAGE(H3:H7)</f>
        <v>2.0478450659413665E-2</v>
      </c>
      <c r="I8" s="31">
        <f t="shared" si="5"/>
        <v>0.77956956696246593</v>
      </c>
      <c r="J8" t="s">
        <v>18</v>
      </c>
    </row>
    <row r="9" spans="1:11" x14ac:dyDescent="0.25">
      <c r="A9" t="s">
        <v>3</v>
      </c>
    </row>
    <row r="10" spans="1:11" x14ac:dyDescent="0.25">
      <c r="A10" s="3" t="s">
        <v>4</v>
      </c>
      <c r="B10" s="3"/>
      <c r="C10" s="3" t="s">
        <v>7</v>
      </c>
      <c r="D10" s="3"/>
      <c r="E10" s="3" t="s">
        <v>10</v>
      </c>
      <c r="F10" s="3"/>
    </row>
    <row r="11" spans="1:11" x14ac:dyDescent="0.25">
      <c r="A11" t="s">
        <v>5</v>
      </c>
      <c r="B11">
        <v>170.96950000000001</v>
      </c>
      <c r="C11" t="s">
        <v>5</v>
      </c>
      <c r="D11" s="2">
        <v>103.5936</v>
      </c>
      <c r="E11" t="s">
        <v>12</v>
      </c>
      <c r="F11" s="2">
        <v>899.73</v>
      </c>
    </row>
    <row r="12" spans="1:11" x14ac:dyDescent="0.25">
      <c r="A12" t="s">
        <v>6</v>
      </c>
      <c r="B12">
        <v>1.7511000000000001</v>
      </c>
      <c r="C12" t="s">
        <v>6</v>
      </c>
      <c r="D12" s="2">
        <v>0.72589999999999999</v>
      </c>
      <c r="E12" t="s">
        <v>11</v>
      </c>
      <c r="F12" s="4">
        <v>-1215.93</v>
      </c>
    </row>
  </sheetData>
  <mergeCells count="6">
    <mergeCell ref="A10:B10"/>
    <mergeCell ref="C10:D10"/>
    <mergeCell ref="E10:F10"/>
    <mergeCell ref="A1:C1"/>
    <mergeCell ref="D1:F1"/>
    <mergeCell ref="G1:I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Yve Lepkowski</dc:creator>
  <cp:lastModifiedBy>Shubhendra Kumar</cp:lastModifiedBy>
  <dcterms:created xsi:type="dcterms:W3CDTF">2022-10-17T16:01:42Z</dcterms:created>
  <dcterms:modified xsi:type="dcterms:W3CDTF">2024-12-18T09:08:22Z</dcterms:modified>
</cp:coreProperties>
</file>