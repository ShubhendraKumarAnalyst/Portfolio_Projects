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\OneDrive\Desktop\Projects\Business Analytics with Excel\"/>
    </mc:Choice>
  </mc:AlternateContent>
  <xr:revisionPtr revIDLastSave="0" documentId="8_{79373A4B-245B-4195-B529-2CDBDF3281F0}" xr6:coauthVersionLast="47" xr6:coauthVersionMax="47" xr10:uidLastSave="{00000000-0000-0000-0000-000000000000}"/>
  <bookViews>
    <workbookView xWindow="-120" yWindow="-120" windowWidth="20730" windowHeight="11310" xr2:uid="{37DC588F-F264-4B2B-B2D0-D1BC78B3B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 s="1"/>
  <c r="G20" i="1" s="1"/>
  <c r="G21" i="1" s="1"/>
  <c r="G22" i="1" s="1"/>
  <c r="E18" i="1"/>
  <c r="F18" i="1" s="1"/>
  <c r="H18" i="1" l="1"/>
  <c r="I18" i="1"/>
  <c r="E19" i="1"/>
  <c r="F19" i="1" s="1"/>
  <c r="J18" i="1" l="1"/>
  <c r="H19" i="1"/>
  <c r="E20" i="1"/>
  <c r="F20" i="1" s="1"/>
  <c r="H20" i="1" s="1"/>
  <c r="I19" i="1"/>
  <c r="J19" i="1" l="1"/>
  <c r="E21" i="1"/>
  <c r="F21" i="1" s="1"/>
  <c r="H21" i="1" s="1"/>
  <c r="I20" i="1"/>
  <c r="J20" i="1" s="1"/>
  <c r="E22" i="1" l="1"/>
  <c r="E23" i="1" s="1"/>
  <c r="I21" i="1"/>
  <c r="J21" i="1" s="1"/>
  <c r="F22" i="1" l="1"/>
  <c r="F23" i="1" s="1"/>
  <c r="H22" i="1" l="1"/>
  <c r="H23" i="1" s="1"/>
  <c r="I22" i="1"/>
  <c r="I23" i="1" s="1"/>
  <c r="J22" i="1" l="1"/>
  <c r="J23" i="1" l="1"/>
  <c r="B16" i="1"/>
</calcChain>
</file>

<file path=xl/sharedStrings.xml><?xml version="1.0" encoding="utf-8"?>
<sst xmlns="http://schemas.openxmlformats.org/spreadsheetml/2006/main" count="23" uniqueCount="23">
  <si>
    <t>Toy Company</t>
  </si>
  <si>
    <t>Cost of Production Factory:</t>
  </si>
  <si>
    <t>Millions</t>
  </si>
  <si>
    <t>Expected Sell in 1 year:</t>
  </si>
  <si>
    <t>Price of each unit:</t>
  </si>
  <si>
    <t>Variable Cost:</t>
  </si>
  <si>
    <t>Half of revenue</t>
  </si>
  <si>
    <t>Fixed Cost:</t>
  </si>
  <si>
    <t>SG&amp;A</t>
  </si>
  <si>
    <t>40% of revenue</t>
  </si>
  <si>
    <t>drop %</t>
  </si>
  <si>
    <t>Each Year</t>
  </si>
  <si>
    <t>increase in unit sale(g)</t>
  </si>
  <si>
    <t>Number of year</t>
  </si>
  <si>
    <t>Sales</t>
  </si>
  <si>
    <t>Revenue</t>
  </si>
  <si>
    <t>Total:</t>
  </si>
  <si>
    <t>SG&amp;A Cost</t>
  </si>
  <si>
    <t>Variable Cost</t>
  </si>
  <si>
    <t>SG&amp;A Percentage</t>
  </si>
  <si>
    <t>Profit</t>
  </si>
  <si>
    <t>(Net) Present Value:</t>
  </si>
  <si>
    <t>Discount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</si>
</sst>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44" formatCode="_ &quot;₹&quot;\ * #,##0.00_ ;_ &quot;₹&quot;\ * \-#,##0.00_ ;_ &quot;₹&quot;\ * &quot;-&quot;??_ ;_ @_ "/>
    <numFmt numFmtId="168" formatCode="_ &quot;₹&quot;\ * #,##0_ ;_ &quot;₹&quot;\ * \-#,##0_ ;_ &quot;₹&quot;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5">
    <xf numFmtId="0" fontId="0" fillId="0" borderId="0" xfId="0"/>
    <xf numFmtId="0" fontId="2" fillId="0" borderId="1" xfId="3" applyAlignment="1">
      <alignment horizontal="center"/>
    </xf>
    <xf numFmtId="0" fontId="3" fillId="0" borderId="1" xfId="3" applyFont="1" applyAlignment="1">
      <alignment horizontal="center"/>
    </xf>
    <xf numFmtId="44" fontId="0" fillId="0" borderId="0" xfId="1" applyFont="1"/>
    <xf numFmtId="1" fontId="0" fillId="0" borderId="0" xfId="0" applyNumberFormat="1"/>
    <xf numFmtId="44" fontId="0" fillId="0" borderId="0" xfId="0" applyNumberFormat="1"/>
    <xf numFmtId="168" fontId="0" fillId="0" borderId="0" xfId="0" applyNumberFormat="1"/>
    <xf numFmtId="9" fontId="0" fillId="0" borderId="0" xfId="2" applyFont="1"/>
    <xf numFmtId="168" fontId="4" fillId="0" borderId="0" xfId="0" applyNumberFormat="1" applyFont="1"/>
    <xf numFmtId="10" fontId="0" fillId="2" borderId="0" xfId="2" applyNumberFormat="1" applyFont="1" applyFill="1"/>
    <xf numFmtId="8" fontId="0" fillId="0" borderId="0" xfId="0" applyNumberFormat="1"/>
    <xf numFmtId="0" fontId="0" fillId="3" borderId="0" xfId="0" applyFill="1"/>
    <xf numFmtId="1" fontId="0" fillId="3" borderId="0" xfId="0" applyNumberFormat="1" applyFill="1"/>
    <xf numFmtId="168" fontId="0" fillId="3" borderId="0" xfId="1" applyNumberFormat="1" applyFont="1" applyFill="1"/>
    <xf numFmtId="9" fontId="0" fillId="0" borderId="0" xfId="0" applyNumberFormat="1" applyFill="1"/>
  </cellXfs>
  <cellStyles count="4">
    <cellStyle name="Currency" xfId="1" builtinId="4"/>
    <cellStyle name="Heading 1" xfId="3" builtinId="16"/>
    <cellStyle name="Normal" xfId="0" builtinId="0"/>
    <cellStyle name="Percent" xfId="2" builtinId="5"/>
  </cellStyles>
  <dxfs count="7"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168" formatCode="_ &quot;₹&quot;\ * #,##0_ ;_ &quot;₹&quot;\ * \-#,##0_ ;_ &quot;₹&quot;\ * &quot;-&quot;??_ ;_ @_ "/>
    </dxf>
    <dxf>
      <numFmt numFmtId="34" formatCode="_ &quot;₹&quot;\ * #,##0.00_ ;_ &quot;₹&quot;\ * \-#,##0.00_ ;_ &quot;₹&quot;\ * &quot;-&quot;??_ ;_ @_ "/>
    </dxf>
    <dxf>
      <numFmt numFmtId="168" formatCode="_ &quot;₹&quot;\ * #,##0_ ;_ &quot;₹&quot;\ * \-#,##0_ ;_ &quot;₹&quot;\ * &quot;-&quot;??_ ;_ @_ 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</xdr:rowOff>
    </xdr:from>
    <xdr:to>
      <xdr:col>15</xdr:col>
      <xdr:colOff>211208</xdr:colOff>
      <xdr:row>15</xdr:row>
      <xdr:rowOff>140730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DE590-B3BF-DD07-59B3-C0149D271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9125" y="1"/>
          <a:ext cx="9145658" cy="303632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79CA7-128D-421D-8CB8-7328C9DBBEAA}" name="Table1" displayName="Table1" ref="D17:J22">
  <autoFilter ref="D17:J22" xr:uid="{9FD79CA7-128D-421D-8CB8-7328C9DBBE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B906B8-CF1E-4F0C-93BB-D6FC40AE4DB5}" name="Number of year" totalsRowLabel="Total"/>
    <tableColumn id="2" xr3:uid="{8A8A3353-E24D-434B-A628-C7002B7173F1}" name="Sales" dataDxfId="6">
      <calculatedColumnFormula>E17*(1+$B$8)</calculatedColumnFormula>
    </tableColumn>
    <tableColumn id="3" xr3:uid="{8B65B0D4-AAFB-495E-9348-8534AA35B390}" name="Revenue" dataDxfId="5">
      <calculatedColumnFormula>$B$7*E18</calculatedColumnFormula>
    </tableColumn>
    <tableColumn id="4" xr3:uid="{C0909D9D-74DD-49EE-A0A0-1D089E060FF3}" name="SG&amp;A Percentage" dataDxfId="4">
      <calculatedColumnFormula>G17-0.02</calculatedColumnFormula>
    </tableColumn>
    <tableColumn id="5" xr3:uid="{A6D78CDF-C6DF-4FD9-AC22-D2C1A5057095}" name="SG&amp;A Cost" dataDxfId="3">
      <calculatedColumnFormula>G18*F18</calculatedColumnFormula>
    </tableColumn>
    <tableColumn id="6" xr3:uid="{A1D852DC-B3CD-4BE3-84AE-2408C8DBAA2C}" name="Variable Cost" dataDxfId="2">
      <calculatedColumnFormula>$B$9*F18</calculatedColumnFormula>
    </tableColumn>
    <tableColumn id="7" xr3:uid="{9BB7AAB0-107C-44D6-9E93-D4D9EFAE4070}" name="Profit" totalsRowFunction="sum" dataDxfId="1" totalsRowDxfId="0">
      <calculatedColumnFormula>F18-H18-I18</calculatedColumnFormula>
    </tableColumn>
  </tableColumns>
  <tableStyleInfo name="TableStyleLight10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AA06-C0B0-46CE-8286-9676FDF48A7D}">
  <dimension ref="A1:J81"/>
  <sheetViews>
    <sheetView tabSelected="1" workbookViewId="0">
      <selection activeCell="B12" sqref="B12"/>
    </sheetView>
  </sheetViews>
  <sheetFormatPr defaultRowHeight="15" x14ac:dyDescent="0.25"/>
  <cols>
    <col min="1" max="1" width="25" bestFit="1" customWidth="1"/>
    <col min="2" max="2" width="15.7109375" bestFit="1" customWidth="1"/>
    <col min="4" max="4" width="16.5703125" customWidth="1"/>
    <col min="5" max="5" width="14.140625" bestFit="1" customWidth="1"/>
    <col min="6" max="6" width="16.7109375" bestFit="1" customWidth="1"/>
    <col min="7" max="7" width="18" customWidth="1"/>
    <col min="8" max="8" width="13.140625" bestFit="1" customWidth="1"/>
    <col min="9" max="9" width="14.85546875" customWidth="1"/>
    <col min="10" max="10" width="11.42578125" bestFit="1" customWidth="1"/>
  </cols>
  <sheetData>
    <row r="1" spans="1:3" ht="15.75" thickBot="1" x14ac:dyDescent="0.3">
      <c r="A1" s="2" t="s">
        <v>0</v>
      </c>
      <c r="B1" s="1"/>
      <c r="C1" s="1"/>
    </row>
    <row r="2" spans="1:3" ht="16.5" thickTop="1" thickBot="1" x14ac:dyDescent="0.3">
      <c r="A2" s="1"/>
      <c r="B2" s="1"/>
      <c r="C2" s="1"/>
    </row>
    <row r="3" spans="1:3" ht="15.75" thickTop="1" x14ac:dyDescent="0.25"/>
    <row r="5" spans="1:3" x14ac:dyDescent="0.25">
      <c r="A5" t="s">
        <v>1</v>
      </c>
      <c r="B5" s="3">
        <v>4</v>
      </c>
      <c r="C5" t="s">
        <v>2</v>
      </c>
    </row>
    <row r="6" spans="1:3" x14ac:dyDescent="0.25">
      <c r="A6" t="s">
        <v>3</v>
      </c>
      <c r="B6">
        <v>80000</v>
      </c>
    </row>
    <row r="7" spans="1:3" x14ac:dyDescent="0.25">
      <c r="A7" t="s">
        <v>4</v>
      </c>
      <c r="B7" s="3">
        <v>25</v>
      </c>
    </row>
    <row r="8" spans="1:3" x14ac:dyDescent="0.25">
      <c r="A8" t="s">
        <v>12</v>
      </c>
      <c r="B8" s="9">
        <v>0.5887873888663413</v>
      </c>
    </row>
    <row r="9" spans="1:3" x14ac:dyDescent="0.25">
      <c r="A9" t="s">
        <v>5</v>
      </c>
      <c r="B9" s="14">
        <v>0.5</v>
      </c>
      <c r="C9" t="s">
        <v>6</v>
      </c>
    </row>
    <row r="11" spans="1:3" x14ac:dyDescent="0.25">
      <c r="A11" t="s">
        <v>7</v>
      </c>
    </row>
    <row r="12" spans="1:3" x14ac:dyDescent="0.25">
      <c r="A12" t="s">
        <v>8</v>
      </c>
      <c r="B12" s="14">
        <v>0.4</v>
      </c>
      <c r="C12" t="s">
        <v>9</v>
      </c>
    </row>
    <row r="13" spans="1:3" x14ac:dyDescent="0.25">
      <c r="A13" t="s">
        <v>10</v>
      </c>
      <c r="B13">
        <v>2</v>
      </c>
      <c r="C13" t="s">
        <v>11</v>
      </c>
    </row>
    <row r="14" spans="1:3" x14ac:dyDescent="0.25">
      <c r="A14" t="s">
        <v>22</v>
      </c>
      <c r="B14" s="7">
        <v>0.05</v>
      </c>
    </row>
    <row r="16" spans="1:3" x14ac:dyDescent="0.25">
      <c r="A16" t="s">
        <v>21</v>
      </c>
      <c r="B16" s="10">
        <f>NPV(B14,J18:J22)</f>
        <v>4000000.0002807095</v>
      </c>
    </row>
    <row r="17" spans="2:10" x14ac:dyDescent="0.25">
      <c r="B17" s="6"/>
      <c r="D17" t="s">
        <v>13</v>
      </c>
      <c r="E17" t="s">
        <v>14</v>
      </c>
      <c r="F17" t="s">
        <v>15</v>
      </c>
      <c r="G17" t="s">
        <v>19</v>
      </c>
      <c r="H17" t="s">
        <v>17</v>
      </c>
      <c r="I17" t="s">
        <v>18</v>
      </c>
      <c r="J17" t="s">
        <v>20</v>
      </c>
    </row>
    <row r="18" spans="2:10" x14ac:dyDescent="0.25">
      <c r="B18" s="3"/>
      <c r="D18">
        <v>1</v>
      </c>
      <c r="E18">
        <f>B6</f>
        <v>80000</v>
      </c>
      <c r="F18" s="6">
        <f>$B$7*E18</f>
        <v>2000000</v>
      </c>
      <c r="G18" s="5">
        <f>B12*1</f>
        <v>0.4</v>
      </c>
      <c r="H18" s="6">
        <f>G18*F18</f>
        <v>800000</v>
      </c>
      <c r="I18" s="6">
        <f>$B$9*F18</f>
        <v>1000000</v>
      </c>
      <c r="J18" s="6">
        <f>F18-H18-I18</f>
        <v>200000</v>
      </c>
    </row>
    <row r="19" spans="2:10" x14ac:dyDescent="0.25">
      <c r="D19">
        <v>2</v>
      </c>
      <c r="E19" s="4">
        <f>E18*(1+$B$8)</f>
        <v>127102.9911093073</v>
      </c>
      <c r="F19" s="6">
        <f t="shared" ref="F19:F22" si="0">$B$7*E19</f>
        <v>3177574.7777326824</v>
      </c>
      <c r="G19" s="5">
        <f>G18-0.02</f>
        <v>0.38</v>
      </c>
      <c r="H19" s="6">
        <f t="shared" ref="H19:H22" si="1">G19*F19</f>
        <v>1207478.4155384193</v>
      </c>
      <c r="I19" s="6">
        <f t="shared" ref="I19:I22" si="2">$B$9*F19</f>
        <v>1588787.3888663412</v>
      </c>
      <c r="J19" s="6">
        <f t="shared" ref="J19:J22" si="3">F19-H19-I19</f>
        <v>381308.97332792194</v>
      </c>
    </row>
    <row r="20" spans="2:10" x14ac:dyDescent="0.25">
      <c r="D20">
        <v>3</v>
      </c>
      <c r="E20" s="4">
        <f t="shared" ref="E20:E22" si="4">E19*(1+$B$8)</f>
        <v>201939.62936165815</v>
      </c>
      <c r="F20" s="6">
        <f t="shared" si="0"/>
        <v>5048490.7340414543</v>
      </c>
      <c r="G20" s="5">
        <f t="shared" ref="G20:G22" si="5">G19-0.02</f>
        <v>0.36</v>
      </c>
      <c r="H20" s="6">
        <f t="shared" si="1"/>
        <v>1817456.6642549236</v>
      </c>
      <c r="I20" s="6">
        <f t="shared" si="2"/>
        <v>2524245.3670207271</v>
      </c>
      <c r="J20" s="6">
        <f t="shared" si="3"/>
        <v>706788.70276580378</v>
      </c>
    </row>
    <row r="21" spans="2:10" x14ac:dyDescent="0.25">
      <c r="D21">
        <v>4</v>
      </c>
      <c r="E21" s="4">
        <f t="shared" si="4"/>
        <v>320839.13644214562</v>
      </c>
      <c r="F21" s="6">
        <f t="shared" si="0"/>
        <v>8020978.4110536408</v>
      </c>
      <c r="G21" s="5">
        <f t="shared" si="5"/>
        <v>0.33999999999999997</v>
      </c>
      <c r="H21" s="6">
        <f t="shared" si="1"/>
        <v>2727132.6597582377</v>
      </c>
      <c r="I21" s="6">
        <f t="shared" si="2"/>
        <v>4010489.2055268204</v>
      </c>
      <c r="J21" s="6">
        <f t="shared" si="3"/>
        <v>1283356.5457685823</v>
      </c>
    </row>
    <row r="22" spans="2:10" x14ac:dyDescent="0.25">
      <c r="D22">
        <v>5</v>
      </c>
      <c r="E22" s="4">
        <f t="shared" si="4"/>
        <v>509745.17383404833</v>
      </c>
      <c r="F22" s="6">
        <f t="shared" si="0"/>
        <v>12743629.345851209</v>
      </c>
      <c r="G22" s="5">
        <f t="shared" si="5"/>
        <v>0.31999999999999995</v>
      </c>
      <c r="H22" s="6">
        <f t="shared" si="1"/>
        <v>4077961.3906723862</v>
      </c>
      <c r="I22" s="6">
        <f t="shared" si="2"/>
        <v>6371814.6729256045</v>
      </c>
      <c r="J22" s="6">
        <f t="shared" si="3"/>
        <v>2293853.2822532188</v>
      </c>
    </row>
    <row r="23" spans="2:10" x14ac:dyDescent="0.25">
      <c r="D23" s="11" t="s">
        <v>16</v>
      </c>
      <c r="E23" s="12">
        <f>SUM(E18:E22)</f>
        <v>1239626.9307471593</v>
      </c>
      <c r="F23" s="13">
        <f>SUM(F18:F22)</f>
        <v>30990673.268678989</v>
      </c>
      <c r="G23" s="13"/>
      <c r="H23" s="13">
        <f>SUM(H18:H22)</f>
        <v>10630029.130223967</v>
      </c>
      <c r="I23" s="13">
        <f>SUM(I18:I22)</f>
        <v>15495336.634339495</v>
      </c>
      <c r="J23" s="13">
        <f>SUM(J18:J22)</f>
        <v>4865307.5041155266</v>
      </c>
    </row>
    <row r="26" spans="2:10" x14ac:dyDescent="0.25">
      <c r="D26" s="8"/>
      <c r="E26" s="3"/>
    </row>
    <row r="27" spans="2:10" x14ac:dyDescent="0.25">
      <c r="D27" s="7"/>
    </row>
    <row r="28" spans="2:10" x14ac:dyDescent="0.25">
      <c r="D28" s="7"/>
    </row>
    <row r="29" spans="2:10" x14ac:dyDescent="0.25">
      <c r="D29" s="7"/>
    </row>
    <row r="30" spans="2:10" x14ac:dyDescent="0.25">
      <c r="D30" s="7"/>
    </row>
    <row r="31" spans="2:10" x14ac:dyDescent="0.25">
      <c r="D31" s="7"/>
    </row>
    <row r="32" spans="2:10" x14ac:dyDescent="0.25">
      <c r="D32" s="7"/>
    </row>
    <row r="33" spans="4:4" x14ac:dyDescent="0.25">
      <c r="D33" s="7"/>
    </row>
    <row r="34" spans="4:4" x14ac:dyDescent="0.25">
      <c r="D34" s="7"/>
    </row>
    <row r="35" spans="4:4" x14ac:dyDescent="0.25">
      <c r="D35" s="7"/>
    </row>
    <row r="36" spans="4:4" x14ac:dyDescent="0.25">
      <c r="D36" s="7"/>
    </row>
    <row r="37" spans="4:4" x14ac:dyDescent="0.25">
      <c r="D37" s="7"/>
    </row>
    <row r="38" spans="4:4" x14ac:dyDescent="0.25">
      <c r="D38" s="7"/>
    </row>
    <row r="39" spans="4:4" x14ac:dyDescent="0.25">
      <c r="D39" s="7"/>
    </row>
    <row r="40" spans="4:4" x14ac:dyDescent="0.25">
      <c r="D40" s="7"/>
    </row>
    <row r="41" spans="4:4" x14ac:dyDescent="0.25">
      <c r="D41" s="7"/>
    </row>
    <row r="42" spans="4:4" x14ac:dyDescent="0.25">
      <c r="D42" s="7"/>
    </row>
    <row r="43" spans="4:4" x14ac:dyDescent="0.25">
      <c r="D43" s="7"/>
    </row>
    <row r="44" spans="4:4" x14ac:dyDescent="0.25">
      <c r="D44" s="7"/>
    </row>
    <row r="45" spans="4:4" x14ac:dyDescent="0.25">
      <c r="D45" s="7"/>
    </row>
    <row r="46" spans="4:4" x14ac:dyDescent="0.25">
      <c r="D46" s="7"/>
    </row>
    <row r="47" spans="4:4" x14ac:dyDescent="0.25">
      <c r="D47" s="7"/>
    </row>
    <row r="48" spans="4:4" x14ac:dyDescent="0.25">
      <c r="D48" s="7"/>
    </row>
    <row r="49" spans="4:4" x14ac:dyDescent="0.25">
      <c r="D49" s="7"/>
    </row>
    <row r="50" spans="4:4" x14ac:dyDescent="0.25">
      <c r="D50" s="7"/>
    </row>
    <row r="51" spans="4:4" x14ac:dyDescent="0.25">
      <c r="D51" s="7"/>
    </row>
    <row r="52" spans="4:4" x14ac:dyDescent="0.25">
      <c r="D52" s="7"/>
    </row>
    <row r="53" spans="4:4" x14ac:dyDescent="0.25">
      <c r="D53" s="7"/>
    </row>
    <row r="54" spans="4:4" x14ac:dyDescent="0.25">
      <c r="D54" s="7"/>
    </row>
    <row r="55" spans="4:4" x14ac:dyDescent="0.25">
      <c r="D55" s="7"/>
    </row>
    <row r="56" spans="4:4" x14ac:dyDescent="0.25">
      <c r="D56" s="7"/>
    </row>
    <row r="57" spans="4:4" x14ac:dyDescent="0.25">
      <c r="D57" s="7"/>
    </row>
    <row r="58" spans="4:4" x14ac:dyDescent="0.25">
      <c r="D58" s="7"/>
    </row>
    <row r="59" spans="4:4" x14ac:dyDescent="0.25">
      <c r="D59" s="7"/>
    </row>
    <row r="60" spans="4:4" x14ac:dyDescent="0.25">
      <c r="D60" s="7"/>
    </row>
    <row r="61" spans="4:4" x14ac:dyDescent="0.25">
      <c r="D61" s="7"/>
    </row>
    <row r="62" spans="4:4" x14ac:dyDescent="0.25">
      <c r="D62" s="7"/>
    </row>
    <row r="63" spans="4:4" x14ac:dyDescent="0.25">
      <c r="D63" s="7"/>
    </row>
    <row r="64" spans="4:4" x14ac:dyDescent="0.25">
      <c r="D64" s="7"/>
    </row>
    <row r="65" spans="4:4" x14ac:dyDescent="0.25">
      <c r="D65" s="7"/>
    </row>
    <row r="66" spans="4:4" x14ac:dyDescent="0.25">
      <c r="D66" s="7"/>
    </row>
    <row r="67" spans="4:4" x14ac:dyDescent="0.25">
      <c r="D67" s="7"/>
    </row>
    <row r="68" spans="4:4" x14ac:dyDescent="0.25">
      <c r="D68" s="7"/>
    </row>
    <row r="69" spans="4:4" x14ac:dyDescent="0.25">
      <c r="D69" s="7"/>
    </row>
    <row r="70" spans="4:4" x14ac:dyDescent="0.25">
      <c r="D70" s="7"/>
    </row>
    <row r="71" spans="4:4" x14ac:dyDescent="0.25">
      <c r="D71" s="7"/>
    </row>
    <row r="72" spans="4:4" x14ac:dyDescent="0.25">
      <c r="D72" s="7"/>
    </row>
    <row r="73" spans="4:4" x14ac:dyDescent="0.25">
      <c r="D73" s="7"/>
    </row>
    <row r="74" spans="4:4" x14ac:dyDescent="0.25">
      <c r="D74" s="7"/>
    </row>
    <row r="75" spans="4:4" x14ac:dyDescent="0.25">
      <c r="D75" s="7"/>
    </row>
    <row r="76" spans="4:4" x14ac:dyDescent="0.25">
      <c r="D76" s="7"/>
    </row>
    <row r="77" spans="4:4" x14ac:dyDescent="0.25">
      <c r="D77" s="7"/>
    </row>
    <row r="78" spans="4:4" x14ac:dyDescent="0.25">
      <c r="D78" s="7"/>
    </row>
    <row r="79" spans="4:4" x14ac:dyDescent="0.25">
      <c r="D79" s="7"/>
    </row>
    <row r="80" spans="4:4" x14ac:dyDescent="0.25">
      <c r="D80" s="7"/>
    </row>
    <row r="81" spans="4:4" x14ac:dyDescent="0.25">
      <c r="D81" s="7"/>
    </row>
  </sheetData>
  <mergeCells count="1">
    <mergeCell ref="A1:C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Shubhendra Kumar</dc:creator>
  <cp:lastModifiedBy>Shubhendra Kumar</cp:lastModifiedBy>
  <dcterms:created xsi:type="dcterms:W3CDTF">2024-12-18T11:31:31Z</dcterms:created>
  <dcterms:modified xsi:type="dcterms:W3CDTF">2024-12-18T13:23:33Z</dcterms:modified>
</cp:coreProperties>
</file>