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SK\OneDrive\Desktop\Projects\Business Analytics with Excel\"/>
    </mc:Choice>
  </mc:AlternateContent>
  <xr:revisionPtr revIDLastSave="0" documentId="13_ncr:1_{F346CD4E-380D-4429-B8D1-7F610F63276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G23" i="1"/>
  <c r="D23" i="1"/>
  <c r="C2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H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E2" i="1"/>
  <c r="G2" i="1" s="1"/>
  <c r="E3" i="1"/>
  <c r="G3" i="1" s="1"/>
  <c r="E4" i="1"/>
  <c r="G4" i="1" s="1"/>
  <c r="E5" i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G21" i="1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3" i="1"/>
  <c r="F23" i="1" l="1"/>
  <c r="H23" i="1"/>
  <c r="E23" i="1"/>
</calcChain>
</file>

<file path=xl/sharedStrings.xml><?xml version="1.0" encoding="utf-8"?>
<sst xmlns="http://schemas.openxmlformats.org/spreadsheetml/2006/main" count="20" uniqueCount="17">
  <si>
    <t>Average of Seasonally Adjusted Sales</t>
  </si>
  <si>
    <t>Year</t>
  </si>
  <si>
    <t>Year Number</t>
  </si>
  <si>
    <t>Constant(a):</t>
  </si>
  <si>
    <t>Exponent(b):</t>
  </si>
  <si>
    <t>Expontial Model: ae^(bx)</t>
  </si>
  <si>
    <t>Percentage Growth</t>
  </si>
  <si>
    <t>Exponential Sales</t>
  </si>
  <si>
    <t>Power Sales</t>
  </si>
  <si>
    <t>Power Model: ax^b</t>
  </si>
  <si>
    <t>Exponential Absolute Error</t>
  </si>
  <si>
    <t>Power Absolute Error</t>
  </si>
  <si>
    <t>Total Adjusted Sales</t>
  </si>
  <si>
    <t>Total Exponential Adjusted Sales</t>
  </si>
  <si>
    <t>Total Power Adjusted Sales</t>
  </si>
  <si>
    <t>Mean Exponential Absolute Error</t>
  </si>
  <si>
    <t>Mean Power Absolute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</si>
</sst>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164" formatCode="_(&quot;$&quot;* #,##0.00_);_(&quot;$&quot;* \(#,##0.00\);_(&quot;$&quot;* &quot;-&quot;??_);_(@_)"/>
    <numFmt numFmtId="165" formatCode="&quot;$&quot;#,##0.00"/>
    <numFmt numFmtId="166" formatCode="0.0"/>
    <numFmt numFmtId="167" formatCode="_ [$₹-4009]\ * #,##0.00_ ;_ [$₹-4009]\ * \-#,##0.00_ ;_ [$₹-4009]\ * &quot;-&quot;??_ ;_ @_ "/>
    <numFmt numFmtId="168" formatCode="0.00000"/>
    <numFmt numFmtId="169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D0D0D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3" borderId="2" applyNumberFormat="0" applyFont="0" applyAlignment="0" applyProtection="0"/>
  </cellStyleXfs>
  <cellXfs count="29">
    <xf numFmtId="0" fontId="0" fillId="0" borderId="0" xfId="0"/>
    <xf numFmtId="165" fontId="2" fillId="2" borderId="1" xfId="1" applyNumberFormat="1" applyFont="1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" fontId="0" fillId="0" borderId="0" xfId="1" applyNumberFormat="1" applyFont="1" applyAlignment="1">
      <alignment horizontal="center"/>
    </xf>
    <xf numFmtId="167" fontId="0" fillId="0" borderId="0" xfId="1" applyNumberFormat="1" applyFont="1" applyAlignment="1">
      <alignment horizontal="center"/>
    </xf>
    <xf numFmtId="169" fontId="0" fillId="0" borderId="0" xfId="2" applyNumberFormat="1" applyFont="1"/>
    <xf numFmtId="10" fontId="0" fillId="0" borderId="0" xfId="2" applyNumberFormat="1" applyFont="1"/>
    <xf numFmtId="44" fontId="0" fillId="0" borderId="0" xfId="0" applyNumberFormat="1"/>
    <xf numFmtId="44" fontId="2" fillId="2" borderId="1" xfId="1" applyNumberFormat="1" applyFont="1" applyFill="1" applyBorder="1" applyAlignment="1">
      <alignment horizontal="center"/>
    </xf>
    <xf numFmtId="166" fontId="0" fillId="0" borderId="0" xfId="0" applyNumberFormat="1"/>
    <xf numFmtId="10" fontId="0" fillId="0" borderId="0" xfId="2" applyNumberFormat="1" applyFont="1" applyBorder="1"/>
    <xf numFmtId="169" fontId="0" fillId="0" borderId="0" xfId="0" applyNumberFormat="1"/>
    <xf numFmtId="0" fontId="0" fillId="0" borderId="0" xfId="0" applyAlignment="1">
      <alignment horizontal="right"/>
    </xf>
    <xf numFmtId="10" fontId="0" fillId="0" borderId="0" xfId="0" applyNumberFormat="1"/>
    <xf numFmtId="0" fontId="0" fillId="4" borderId="0" xfId="0" applyFill="1" applyAlignment="1">
      <alignment horizontal="center"/>
    </xf>
    <xf numFmtId="165" fontId="0" fillId="4" borderId="0" xfId="1" applyNumberFormat="1" applyFont="1" applyFill="1" applyAlignment="1">
      <alignment horizontal="center"/>
    </xf>
    <xf numFmtId="0" fontId="0" fillId="4" borderId="0" xfId="0" applyFill="1"/>
    <xf numFmtId="0" fontId="0" fillId="3" borderId="2" xfId="3" applyFont="1" applyAlignment="1">
      <alignment horizontal="center"/>
    </xf>
    <xf numFmtId="4" fontId="3" fillId="3" borderId="2" xfId="3" applyNumberFormat="1" applyFont="1" applyAlignment="1">
      <alignment horizontal="right"/>
    </xf>
    <xf numFmtId="0" fontId="0" fillId="3" borderId="2" xfId="3" applyFont="1"/>
    <xf numFmtId="168" fontId="0" fillId="3" borderId="2" xfId="3" applyNumberFormat="1" applyFont="1" applyAlignment="1">
      <alignment horizontal="right"/>
    </xf>
    <xf numFmtId="0" fontId="0" fillId="5" borderId="0" xfId="0" applyFill="1" applyAlignment="1">
      <alignment horizontal="center"/>
    </xf>
    <xf numFmtId="1" fontId="0" fillId="5" borderId="0" xfId="1" applyNumberFormat="1" applyFont="1" applyFill="1" applyAlignment="1">
      <alignment horizontal="center"/>
    </xf>
    <xf numFmtId="166" fontId="0" fillId="5" borderId="0" xfId="0" applyNumberFormat="1" applyFill="1"/>
    <xf numFmtId="1" fontId="0" fillId="5" borderId="0" xfId="0" applyNumberFormat="1" applyFill="1"/>
  </cellXfs>
  <cellStyles count="4">
    <cellStyle name="Currency" xfId="1" builtinId="4"/>
    <cellStyle name="Normal" xfId="0" builtinId="0"/>
    <cellStyle name="Note" xfId="3" builtinId="10"/>
    <cellStyle name="Percent" xfId="2" builtinId="5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 [$₹-4009]\ * #,##0.00_ ;_ [$₹-4009]\ * \-#,##0.00_ ;_ [$₹-4009]\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 [$₹-4009]\ * #,##0.00_ ;_ [$₹-4009]\ * \-#,##0.00_ ;_ [$₹-4009]\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 [$₹-4009]\ * #,##0.00_ ;_ [$₹-4009]\ * \-#,##0.00_ ;_ [$₹-4009]\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 [$₹-4009]\ * #,##0.00_ ;_ [$₹-4009]\ * \-#,##0.00_ ;_ [$₹-4009]\ * &quot;-&quot;??_ ;_ @_ 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in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Average of Seasonally Adjusted Sales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44945778652668417"/>
                  <c:y val="-0.16245370370370371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0.11681999125109362"/>
                  <c:y val="-0.18911235053951589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Sheet1!$B$2:$B$21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Sheet1!$C$2:$C$21</c:f>
              <c:numCache>
                <c:formatCode>_ [$₹-4009]\ * #,##0.00_ ;_ [$₹-4009]\ * \-#,##0.00_ ;_ [$₹-4009]\ * "-"??_ ;_ @_ </c:formatCode>
                <c:ptCount val="20"/>
                <c:pt idx="0">
                  <c:v>150781.16666666666</c:v>
                </c:pt>
                <c:pt idx="1">
                  <c:v>161696.25</c:v>
                </c:pt>
                <c:pt idx="2">
                  <c:v>175688.83333333334</c:v>
                </c:pt>
                <c:pt idx="3">
                  <c:v>185437.25</c:v>
                </c:pt>
                <c:pt idx="4">
                  <c:v>196728.16666666666</c:v>
                </c:pt>
                <c:pt idx="5">
                  <c:v>206334.08333333334</c:v>
                </c:pt>
                <c:pt idx="6">
                  <c:v>215657.66666666666</c:v>
                </c:pt>
                <c:pt idx="7">
                  <c:v>233872</c:v>
                </c:pt>
                <c:pt idx="8">
                  <c:v>248748.25</c:v>
                </c:pt>
                <c:pt idx="9">
                  <c:v>255663.75</c:v>
                </c:pt>
                <c:pt idx="10">
                  <c:v>261272.41666666666</c:v>
                </c:pt>
                <c:pt idx="11">
                  <c:v>272232.5</c:v>
                </c:pt>
                <c:pt idx="12">
                  <c:v>288987.5</c:v>
                </c:pt>
                <c:pt idx="13">
                  <c:v>307826.08333333331</c:v>
                </c:pt>
                <c:pt idx="14">
                  <c:v>323823.08333333331</c:v>
                </c:pt>
                <c:pt idx="15">
                  <c:v>334008</c:v>
                </c:pt>
                <c:pt idx="16">
                  <c:v>328780.33333333331</c:v>
                </c:pt>
                <c:pt idx="17">
                  <c:v>303288.91666666669</c:v>
                </c:pt>
                <c:pt idx="18">
                  <c:v>323964.16666666669</c:v>
                </c:pt>
                <c:pt idx="19">
                  <c:v>349717.75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AB-475A-86EF-3D0933867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459200"/>
        <c:axId val="1246456320"/>
      </c:scatterChart>
      <c:valAx>
        <c:axId val="124645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effectLst/>
                  </a:rPr>
                  <a:t>Year Number</a:t>
                </a:r>
                <a:r>
                  <a:rPr lang="en-IN" sz="1000" b="0" i="0" u="none" strike="noStrike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 </a:t>
                </a:r>
                <a:endParaRPr lang="en-IN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456320"/>
        <c:crosses val="autoZero"/>
        <c:crossBetween val="midCat"/>
      </c:valAx>
      <c:valAx>
        <c:axId val="124645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effectLst/>
                  </a:rPr>
                  <a:t>Average of Seasonally Adjusted Sales</a:t>
                </a:r>
                <a:r>
                  <a:rPr lang="en-IN" sz="1000" b="0" i="0" u="none" strike="noStrike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 </a:t>
                </a:r>
                <a:endParaRPr lang="en-IN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459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180975</xdr:colOff>
      <xdr:row>0</xdr:row>
      <xdr:rowOff>9525</xdr:rowOff>
    </xdr:from>
    <xdr:to>
      <xdr:col>27</xdr:col>
      <xdr:colOff>506487</xdr:colOff>
      <xdr:row>14</xdr:row>
      <xdr:rowOff>152792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E0DDC0-6DE9-EEA7-9926-54E96971D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25350" y="9525"/>
          <a:ext cx="11907912" cy="2810267"/>
        </a:xfrm>
        <a:prstGeom prst="rect">
          <a:avLst/>
        </a:prstGeom>
      </xdr:spPr>
    </xdr:pic>
    <xdr:clientData/>
  </xdr:twoCellAnchor>
  <xdr:twoCellAnchor>
    <xdr:from>
      <xdr:col>8</xdr:col>
      <xdr:colOff>133350</xdr:colOff>
      <xdr:row>15</xdr:row>
      <xdr:rowOff>14287</xdr:rowOff>
    </xdr:from>
    <xdr:to>
      <xdr:col>15</xdr:col>
      <xdr:colOff>438150</xdr:colOff>
      <xdr:row>31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DFB34B-5D2E-5C2D-00DF-3BA7F7F42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B39D52-304A-4FE5-949D-79658A984DCC}" name="Table2" displayName="Table2" ref="C22:H23" totalsRowShown="0" headerRowDxfId="7" dataDxfId="6" headerRowCellStyle="Currency" dataCellStyle="Percent">
  <tableColumns count="6">
    <tableColumn id="1" xr3:uid="{8F518745-DD71-4E06-A0C9-94437FB5CFC4}" name="Total Adjusted Sales" dataDxfId="5" dataCellStyle="Currency">
      <calculatedColumnFormula>SUM(C2:C21)</calculatedColumnFormula>
    </tableColumn>
    <tableColumn id="2" xr3:uid="{4FB1A2B1-585A-4C36-A732-EBD0B85AFB6C}" name="Percentage Growth" dataDxfId="4" dataCellStyle="Percent">
      <calculatedColumnFormula>AVERAGE(D3:D21)</calculatedColumnFormula>
    </tableColumn>
    <tableColumn id="3" xr3:uid="{814C6ECC-8988-4590-98B3-D85A7EE39022}" name="Total Exponential Adjusted Sales" dataDxfId="3" dataCellStyle="Currency">
      <calculatedColumnFormula>SUM(E2:E21)</calculatedColumnFormula>
    </tableColumn>
    <tableColumn id="4" xr3:uid="{6C0E9866-6E77-4120-8176-A3CA7231070F}" name="Total Power Adjusted Sales" dataDxfId="2" dataCellStyle="Currency">
      <calculatedColumnFormula>SUM(F2:F21)</calculatedColumnFormula>
    </tableColumn>
    <tableColumn id="5" xr3:uid="{B79F1568-B7EA-48F5-8F3C-37A3C8942EA3}" name="Mean Exponential Absolute Error" dataDxfId="1" dataCellStyle="Percent">
      <calculatedColumnFormula>AVERAGE(G2:G21)</calculatedColumnFormula>
    </tableColumn>
    <tableColumn id="6" xr3:uid="{D36544EC-AD50-4A22-8408-EC0981AE12D2}" name="Mean Power Absolute Error" dataDxfId="0" dataCellStyle="Percent">
      <calculatedColumnFormula>AVERAGE(H3:H21)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topLeftCell="A22" zoomScaleNormal="100" workbookViewId="0">
      <selection activeCell="E33" sqref="E33"/>
    </sheetView>
  </sheetViews>
  <sheetFormatPr defaultRowHeight="15" x14ac:dyDescent="0.25"/>
  <cols>
    <col min="1" max="1" width="23.5703125" style="4" bestFit="1" customWidth="1"/>
    <col min="2" max="2" width="12.7109375" style="2" bestFit="1" customWidth="1"/>
    <col min="3" max="3" width="34.7109375" bestFit="1" customWidth="1"/>
    <col min="4" max="4" width="21" customWidth="1"/>
    <col min="5" max="5" width="32.85546875" style="11" customWidth="1"/>
    <col min="6" max="6" width="28" customWidth="1"/>
    <col min="7" max="7" width="32.28515625" customWidth="1"/>
    <col min="8" max="8" width="30.85546875" bestFit="1" customWidth="1"/>
  </cols>
  <sheetData>
    <row r="1" spans="1:8" x14ac:dyDescent="0.25">
      <c r="A1" s="3" t="s">
        <v>1</v>
      </c>
      <c r="B1" s="1" t="s">
        <v>2</v>
      </c>
      <c r="C1" s="1" t="s">
        <v>0</v>
      </c>
      <c r="D1" s="1" t="s">
        <v>6</v>
      </c>
      <c r="E1" s="12" t="s">
        <v>7</v>
      </c>
      <c r="F1" s="12" t="s">
        <v>8</v>
      </c>
      <c r="G1" s="1" t="s">
        <v>10</v>
      </c>
      <c r="H1" s="1" t="s">
        <v>11</v>
      </c>
    </row>
    <row r="2" spans="1:8" x14ac:dyDescent="0.25">
      <c r="A2" s="5">
        <v>1992</v>
      </c>
      <c r="B2" s="7">
        <v>1</v>
      </c>
      <c r="C2" s="8">
        <v>150781.16666666666</v>
      </c>
      <c r="E2" s="11">
        <f t="shared" ref="E2:E21" si="0">$B$28*EXP(B2*$B$29)</f>
        <v>165138.34538566868</v>
      </c>
      <c r="F2">
        <f>$D$28*B2^$D$29</f>
        <v>128681.3878</v>
      </c>
      <c r="G2" s="9">
        <f t="shared" ref="G2:G21" si="1">ABS(E2-C2)/C2</f>
        <v>9.5218647238229537E-2</v>
      </c>
      <c r="H2" s="9">
        <f>ABS(F2-C2)/C2</f>
        <v>0.14656856260784112</v>
      </c>
    </row>
    <row r="3" spans="1:8" x14ac:dyDescent="0.25">
      <c r="A3" s="4">
        <v>1993</v>
      </c>
      <c r="B3" s="7">
        <v>2</v>
      </c>
      <c r="C3" s="8">
        <v>161696.25</v>
      </c>
      <c r="D3" s="10">
        <f>(C3-C2)/C2</f>
        <v>7.2390229991146179E-2</v>
      </c>
      <c r="E3" s="11">
        <f t="shared" si="0"/>
        <v>172389.00489330568</v>
      </c>
      <c r="F3">
        <f t="shared" ref="F3:F21" si="2">$D$28*B3^$D$29</f>
        <v>159604.72920794066</v>
      </c>
      <c r="G3" s="9">
        <f t="shared" si="1"/>
        <v>6.6128651055950172E-2</v>
      </c>
      <c r="H3" s="9">
        <f t="shared" ref="H3:H21" si="3">ABS(F3-C3)/C3</f>
        <v>1.2934875063950701E-2</v>
      </c>
    </row>
    <row r="4" spans="1:8" x14ac:dyDescent="0.25">
      <c r="A4" s="4">
        <v>1994</v>
      </c>
      <c r="B4" s="7">
        <v>3</v>
      </c>
      <c r="C4" s="8">
        <v>175688.83333333334</v>
      </c>
      <c r="D4" s="10">
        <f t="shared" ref="D4:D21" si="4">(C4-C3)/C3</f>
        <v>8.6536226618325052E-2</v>
      </c>
      <c r="E4" s="11">
        <f t="shared" si="0"/>
        <v>179958.01604224631</v>
      </c>
      <c r="F4">
        <f t="shared" si="2"/>
        <v>181032.81719390032</v>
      </c>
      <c r="G4" s="9">
        <f t="shared" si="1"/>
        <v>2.429968158996805E-2</v>
      </c>
      <c r="H4" s="9">
        <f t="shared" si="3"/>
        <v>3.0417322257629609E-2</v>
      </c>
    </row>
    <row r="5" spans="1:8" x14ac:dyDescent="0.25">
      <c r="A5" s="4">
        <v>1995</v>
      </c>
      <c r="B5" s="7">
        <v>4</v>
      </c>
      <c r="C5" s="8">
        <v>185437.25</v>
      </c>
      <c r="D5" s="10">
        <f t="shared" si="4"/>
        <v>5.5486831358092327E-2</v>
      </c>
      <c r="E5" s="11">
        <f t="shared" si="0"/>
        <v>187859.35656340094</v>
      </c>
      <c r="F5">
        <f t="shared" si="2"/>
        <v>197959.23886935317</v>
      </c>
      <c r="G5" s="9">
        <f t="shared" si="1"/>
        <v>1.3061596650084828E-2</v>
      </c>
      <c r="H5" s="9">
        <f t="shared" si="3"/>
        <v>6.7526825755629835E-2</v>
      </c>
    </row>
    <row r="6" spans="1:8" x14ac:dyDescent="0.25">
      <c r="A6" s="4">
        <v>1996</v>
      </c>
      <c r="B6" s="7">
        <v>5</v>
      </c>
      <c r="C6" s="8">
        <v>196728.16666666666</v>
      </c>
      <c r="D6" s="10">
        <f t="shared" si="4"/>
        <v>6.0888072200524203E-2</v>
      </c>
      <c r="E6" s="11">
        <f t="shared" si="0"/>
        <v>196107.61790200099</v>
      </c>
      <c r="F6">
        <f t="shared" si="2"/>
        <v>212170.85005522272</v>
      </c>
      <c r="G6" s="9">
        <f t="shared" si="1"/>
        <v>3.1543463001773311E-3</v>
      </c>
      <c r="H6" s="9">
        <f t="shared" si="3"/>
        <v>7.849757180283147E-2</v>
      </c>
    </row>
    <row r="7" spans="1:8" x14ac:dyDescent="0.25">
      <c r="A7" s="4">
        <v>1997</v>
      </c>
      <c r="B7" s="7">
        <v>6</v>
      </c>
      <c r="C7" s="8">
        <v>206334.08333333334</v>
      </c>
      <c r="D7" s="10">
        <f t="shared" si="4"/>
        <v>4.8828374855659648E-2</v>
      </c>
      <c r="E7" s="11">
        <f t="shared" si="0"/>
        <v>204718.0321636943</v>
      </c>
      <c r="F7">
        <f t="shared" si="2"/>
        <v>224536.69687562299</v>
      </c>
      <c r="G7" s="9">
        <f t="shared" si="1"/>
        <v>7.8322066016999741E-3</v>
      </c>
      <c r="H7" s="9">
        <f t="shared" si="3"/>
        <v>8.8219131072413609E-2</v>
      </c>
    </row>
    <row r="8" spans="1:8" x14ac:dyDescent="0.25">
      <c r="A8" s="4">
        <v>1998</v>
      </c>
      <c r="B8" s="7">
        <v>7</v>
      </c>
      <c r="C8" s="8">
        <v>215657.66666666666</v>
      </c>
      <c r="D8" s="10">
        <f t="shared" si="4"/>
        <v>4.5186830904087892E-2</v>
      </c>
      <c r="E8" s="11">
        <f t="shared" si="0"/>
        <v>213706.50024375084</v>
      </c>
      <c r="F8">
        <f t="shared" si="2"/>
        <v>235552.48868625343</v>
      </c>
      <c r="G8" s="9">
        <f t="shared" si="1"/>
        <v>9.0475170814662415E-3</v>
      </c>
      <c r="H8" s="9">
        <f t="shared" si="3"/>
        <v>9.2251865315492815E-2</v>
      </c>
    </row>
    <row r="9" spans="1:8" x14ac:dyDescent="0.25">
      <c r="A9" s="4">
        <v>1999</v>
      </c>
      <c r="B9" s="7">
        <v>8</v>
      </c>
      <c r="C9" s="8">
        <v>233872</v>
      </c>
      <c r="D9" s="10">
        <f t="shared" si="4"/>
        <v>8.4459475124927977E-2</v>
      </c>
      <c r="E9" s="11">
        <f t="shared" si="0"/>
        <v>223089.62119132609</v>
      </c>
      <c r="F9">
        <f t="shared" si="2"/>
        <v>245530.69604020193</v>
      </c>
      <c r="G9" s="9">
        <f t="shared" si="1"/>
        <v>4.6103761068763717E-2</v>
      </c>
      <c r="H9" s="9">
        <f t="shared" si="3"/>
        <v>4.9850756140974263E-2</v>
      </c>
    </row>
    <row r="10" spans="1:8" x14ac:dyDescent="0.25">
      <c r="A10" s="4">
        <v>2000</v>
      </c>
      <c r="B10" s="7">
        <v>9</v>
      </c>
      <c r="C10" s="8">
        <v>248748.25</v>
      </c>
      <c r="D10" s="10">
        <f t="shared" si="4"/>
        <v>6.3608512348635154E-2</v>
      </c>
      <c r="E10" s="11">
        <f t="shared" si="0"/>
        <v>232884.72286300847</v>
      </c>
      <c r="F10">
        <f t="shared" si="2"/>
        <v>254682.37063231409</v>
      </c>
      <c r="G10" s="9">
        <f t="shared" si="1"/>
        <v>6.3773422072282024E-2</v>
      </c>
      <c r="H10" s="9">
        <f t="shared" si="3"/>
        <v>2.3855929166593511E-2</v>
      </c>
    </row>
    <row r="11" spans="1:8" x14ac:dyDescent="0.25">
      <c r="A11" s="4">
        <v>2001</v>
      </c>
      <c r="B11" s="7">
        <v>10</v>
      </c>
      <c r="C11" s="8">
        <v>255663.75</v>
      </c>
      <c r="D11" s="10">
        <f t="shared" si="4"/>
        <v>2.7801200611461588E-2</v>
      </c>
      <c r="E11" s="11">
        <f t="shared" si="0"/>
        <v>243109.89392225922</v>
      </c>
      <c r="F11">
        <f t="shared" si="2"/>
        <v>263157.49035527889</v>
      </c>
      <c r="G11" s="9">
        <f t="shared" si="1"/>
        <v>4.9102995937988017E-2</v>
      </c>
      <c r="H11" s="9">
        <f t="shared" si="3"/>
        <v>2.9310922472501045E-2</v>
      </c>
    </row>
    <row r="12" spans="1:8" x14ac:dyDescent="0.25">
      <c r="A12" s="4">
        <v>2002</v>
      </c>
      <c r="B12" s="7">
        <v>11</v>
      </c>
      <c r="C12" s="8">
        <v>261272.41666666666</v>
      </c>
      <c r="D12" s="10">
        <f t="shared" si="4"/>
        <v>2.1937668780445632E-2</v>
      </c>
      <c r="E12" s="11">
        <f t="shared" si="0"/>
        <v>253784.01724383773</v>
      </c>
      <c r="F12">
        <f t="shared" si="2"/>
        <v>271066.87142448581</v>
      </c>
      <c r="G12" s="9">
        <f t="shared" si="1"/>
        <v>2.8661270555715341E-2</v>
      </c>
      <c r="H12" s="9">
        <f t="shared" si="3"/>
        <v>3.748751928266119E-2</v>
      </c>
    </row>
    <row r="13" spans="1:8" x14ac:dyDescent="0.25">
      <c r="A13" s="4">
        <v>2003</v>
      </c>
      <c r="B13" s="7">
        <v>12</v>
      </c>
      <c r="C13" s="8">
        <v>272232.5</v>
      </c>
      <c r="D13" s="10">
        <f t="shared" si="4"/>
        <v>4.1948872648567039E-2</v>
      </c>
      <c r="E13" s="11">
        <f t="shared" si="0"/>
        <v>264926.80478490173</v>
      </c>
      <c r="F13">
        <f t="shared" si="2"/>
        <v>278494.96585922944</v>
      </c>
      <c r="G13" s="9">
        <f t="shared" si="1"/>
        <v>2.6836234524159563E-2</v>
      </c>
      <c r="H13" s="9">
        <f t="shared" si="3"/>
        <v>2.3004108103292016E-2</v>
      </c>
    </row>
    <row r="14" spans="1:8" x14ac:dyDescent="0.25">
      <c r="A14" s="4">
        <v>2004</v>
      </c>
      <c r="B14" s="7">
        <v>13</v>
      </c>
      <c r="C14" s="8">
        <v>288987.5</v>
      </c>
      <c r="D14" s="10">
        <f t="shared" si="4"/>
        <v>6.154665589156328E-2</v>
      </c>
      <c r="E14" s="11">
        <f t="shared" si="0"/>
        <v>276558.83398717718</v>
      </c>
      <c r="F14">
        <f t="shared" si="2"/>
        <v>285507.77240724012</v>
      </c>
      <c r="G14" s="9">
        <f t="shared" si="1"/>
        <v>4.3007624941642196E-2</v>
      </c>
      <c r="H14" s="9">
        <f t="shared" si="3"/>
        <v>1.2041100714597974E-2</v>
      </c>
    </row>
    <row r="15" spans="1:8" x14ac:dyDescent="0.25">
      <c r="A15" s="4">
        <v>2005</v>
      </c>
      <c r="B15" s="7">
        <v>14</v>
      </c>
      <c r="C15" s="8">
        <v>307826.08333333331</v>
      </c>
      <c r="D15" s="10">
        <f t="shared" si="4"/>
        <v>6.5188229017979368E-2</v>
      </c>
      <c r="E15" s="11">
        <f t="shared" si="0"/>
        <v>288701.58577742346</v>
      </c>
      <c r="F15">
        <f t="shared" si="2"/>
        <v>292157.95550369396</v>
      </c>
      <c r="G15" s="9">
        <f t="shared" si="1"/>
        <v>6.2127605785766545E-2</v>
      </c>
      <c r="H15" s="9">
        <f t="shared" si="3"/>
        <v>5.0899285921371808E-2</v>
      </c>
    </row>
    <row r="16" spans="1:8" x14ac:dyDescent="0.25">
      <c r="A16" s="4">
        <v>2006</v>
      </c>
      <c r="B16" s="7">
        <v>15</v>
      </c>
      <c r="C16" s="8">
        <v>323823.08333333331</v>
      </c>
      <c r="D16" s="10">
        <f t="shared" si="4"/>
        <v>5.1967655978903675E-2</v>
      </c>
      <c r="E16" s="11">
        <f t="shared" si="0"/>
        <v>301377.48423636868</v>
      </c>
      <c r="F16">
        <f t="shared" si="2"/>
        <v>298488.28465868923</v>
      </c>
      <c r="G16" s="9">
        <f t="shared" si="1"/>
        <v>6.9314388788830852E-2</v>
      </c>
      <c r="H16" s="9">
        <f t="shared" si="3"/>
        <v>7.8236543281150969E-2</v>
      </c>
    </row>
    <row r="17" spans="1:8" x14ac:dyDescent="0.25">
      <c r="A17" s="4">
        <v>2007</v>
      </c>
      <c r="B17" s="7">
        <v>16</v>
      </c>
      <c r="C17" s="8">
        <v>334008</v>
      </c>
      <c r="D17" s="10">
        <f t="shared" si="4"/>
        <v>3.1452102060873323E-2</v>
      </c>
      <c r="E17" s="11">
        <f t="shared" si="0"/>
        <v>314609.93800937221</v>
      </c>
      <c r="F17">
        <f t="shared" si="2"/>
        <v>304534.01943908492</v>
      </c>
      <c r="G17" s="9">
        <f t="shared" si="1"/>
        <v>5.8076638854841163E-2</v>
      </c>
      <c r="H17" s="9">
        <f t="shared" si="3"/>
        <v>8.824333716831656E-2</v>
      </c>
    </row>
    <row r="18" spans="1:8" x14ac:dyDescent="0.25">
      <c r="A18" s="4">
        <v>2008</v>
      </c>
      <c r="B18" s="7">
        <v>17</v>
      </c>
      <c r="C18" s="8">
        <v>328780.33333333331</v>
      </c>
      <c r="D18" s="10">
        <f t="shared" si="4"/>
        <v>-1.5651321724829005E-2</v>
      </c>
      <c r="E18" s="11">
        <f t="shared" si="0"/>
        <v>328423.38353528769</v>
      </c>
      <c r="F18">
        <f t="shared" si="2"/>
        <v>310324.60830855381</v>
      </c>
      <c r="G18" s="9">
        <f t="shared" si="1"/>
        <v>1.0856786792162803E-3</v>
      </c>
      <c r="H18" s="9">
        <f t="shared" si="3"/>
        <v>5.6133908125423668E-2</v>
      </c>
    </row>
    <row r="19" spans="1:8" x14ac:dyDescent="0.25">
      <c r="A19" s="4">
        <v>2009</v>
      </c>
      <c r="B19" s="7">
        <v>18</v>
      </c>
      <c r="C19" s="8">
        <v>303288.91666666669</v>
      </c>
      <c r="D19" s="10">
        <f t="shared" si="4"/>
        <v>-7.7533277030965853E-2</v>
      </c>
      <c r="E19" s="11">
        <f t="shared" si="0"/>
        <v>342843.33017335739</v>
      </c>
      <c r="F19">
        <f t="shared" si="2"/>
        <v>315884.92705708032</v>
      </c>
      <c r="G19" s="9">
        <f t="shared" si="1"/>
        <v>0.13041826236651916</v>
      </c>
      <c r="H19" s="9">
        <f t="shared" si="3"/>
        <v>4.1531390361545691E-2</v>
      </c>
    </row>
    <row r="20" spans="1:8" x14ac:dyDescent="0.25">
      <c r="A20" s="4">
        <v>2010</v>
      </c>
      <c r="B20" s="7">
        <v>19</v>
      </c>
      <c r="C20" s="8">
        <v>323964.16666666669</v>
      </c>
      <c r="D20" s="10">
        <f t="shared" si="4"/>
        <v>6.8170146892388359E-2</v>
      </c>
      <c r="E20" s="11">
        <f t="shared" si="0"/>
        <v>357896.40731147386</v>
      </c>
      <c r="F20">
        <f t="shared" si="2"/>
        <v>321236.19998205575</v>
      </c>
      <c r="G20" s="9">
        <f t="shared" si="1"/>
        <v>0.10474072177161724</v>
      </c>
      <c r="H20" s="9">
        <f t="shared" si="3"/>
        <v>8.4205815497421736E-3</v>
      </c>
    </row>
    <row r="21" spans="1:8" x14ac:dyDescent="0.25">
      <c r="A21" s="4">
        <v>2011</v>
      </c>
      <c r="B21" s="7">
        <v>20</v>
      </c>
      <c r="C21" s="8">
        <v>349717.75</v>
      </c>
      <c r="D21" s="10">
        <f t="shared" si="4"/>
        <v>7.949516021576454E-2</v>
      </c>
      <c r="E21" s="11">
        <f t="shared" si="0"/>
        <v>373610.41354280477</v>
      </c>
      <c r="F21">
        <f t="shared" si="2"/>
        <v>326396.69734114839</v>
      </c>
      <c r="G21" s="9">
        <f t="shared" si="1"/>
        <v>6.8319848056910965E-2</v>
      </c>
      <c r="H21" s="9">
        <f t="shared" si="3"/>
        <v>6.6685356001665932E-2</v>
      </c>
    </row>
    <row r="22" spans="1:8" x14ac:dyDescent="0.25">
      <c r="B22" s="7"/>
      <c r="C22" s="8" t="s">
        <v>12</v>
      </c>
      <c r="D22" s="8" t="s">
        <v>6</v>
      </c>
      <c r="E22" s="8" t="s">
        <v>13</v>
      </c>
      <c r="F22" s="8" t="s">
        <v>14</v>
      </c>
      <c r="G22" s="9" t="s">
        <v>15</v>
      </c>
      <c r="H22" s="9" t="s">
        <v>16</v>
      </c>
    </row>
    <row r="23" spans="1:8" x14ac:dyDescent="0.25">
      <c r="B23" s="7"/>
      <c r="C23" s="8">
        <f>SUM(C2:C21)</f>
        <v>5124508.1666666679</v>
      </c>
      <c r="D23" s="10">
        <f>AVERAGE(D3:D21)</f>
        <v>4.5984612986502658E-2</v>
      </c>
      <c r="E23" s="8">
        <f>SUM(E2:E21)</f>
        <v>5121693.3097726665</v>
      </c>
      <c r="F23" s="8">
        <f>SUM(F2:F21)</f>
        <v>5107001.0676973499</v>
      </c>
      <c r="G23" s="10">
        <f>AVERAGE(G2:G21)</f>
        <v>4.8515554996091462E-2</v>
      </c>
      <c r="H23" s="10">
        <f>AVERAGE(H3:H21)</f>
        <v>4.9239385766199191E-2</v>
      </c>
    </row>
    <row r="24" spans="1:8" x14ac:dyDescent="0.25">
      <c r="B24" s="7"/>
      <c r="C24" s="8"/>
      <c r="D24" s="10"/>
      <c r="G24" s="9"/>
      <c r="H24" s="9"/>
    </row>
    <row r="25" spans="1:8" x14ac:dyDescent="0.25">
      <c r="B25" s="7"/>
      <c r="C25" s="8"/>
      <c r="D25" s="10"/>
      <c r="G25" s="9"/>
      <c r="H25" s="9"/>
    </row>
    <row r="26" spans="1:8" x14ac:dyDescent="0.25">
      <c r="D26" s="16"/>
      <c r="F26" s="11"/>
      <c r="G26" s="15"/>
      <c r="H26" s="15"/>
    </row>
    <row r="27" spans="1:8" x14ac:dyDescent="0.25">
      <c r="A27" s="18" t="s">
        <v>5</v>
      </c>
      <c r="B27" s="19"/>
      <c r="C27" s="20" t="s">
        <v>9</v>
      </c>
      <c r="D27" s="17"/>
      <c r="F27" s="14"/>
    </row>
    <row r="28" spans="1:8" x14ac:dyDescent="0.25">
      <c r="A28" s="21" t="s">
        <v>3</v>
      </c>
      <c r="B28" s="22">
        <v>158192.64769000001</v>
      </c>
      <c r="C28" s="21" t="s">
        <v>3</v>
      </c>
      <c r="D28" s="23">
        <v>128681.3878</v>
      </c>
      <c r="E28"/>
    </row>
    <row r="29" spans="1:8" x14ac:dyDescent="0.25">
      <c r="A29" s="21" t="s">
        <v>4</v>
      </c>
      <c r="B29" s="24">
        <v>4.2970000000000001E-2</v>
      </c>
      <c r="C29" s="21" t="s">
        <v>4</v>
      </c>
      <c r="D29" s="23">
        <v>0.31069999999999998</v>
      </c>
      <c r="E29"/>
    </row>
    <row r="30" spans="1:8" x14ac:dyDescent="0.25">
      <c r="B30" s="6"/>
      <c r="E30"/>
    </row>
    <row r="31" spans="1:8" x14ac:dyDescent="0.25">
      <c r="A31" s="4">
        <v>2011</v>
      </c>
      <c r="B31" s="7">
        <v>20</v>
      </c>
      <c r="C31" s="13">
        <f>$B$28*EXP(B31*$B$29)</f>
        <v>373610.41354280477</v>
      </c>
    </row>
    <row r="32" spans="1:8" x14ac:dyDescent="0.25">
      <c r="A32" s="4">
        <v>2012</v>
      </c>
      <c r="B32" s="7">
        <v>21</v>
      </c>
      <c r="C32" s="13">
        <f t="shared" ref="C32:C89" si="5">$B$28*EXP(B32*$B$29)</f>
        <v>390014.36800159409</v>
      </c>
    </row>
    <row r="33" spans="1:3" x14ac:dyDescent="0.25">
      <c r="A33" s="4">
        <v>2013</v>
      </c>
      <c r="B33" s="7">
        <v>22</v>
      </c>
      <c r="C33" s="13">
        <f t="shared" si="5"/>
        <v>407138.56395294348</v>
      </c>
    </row>
    <row r="34" spans="1:3" x14ac:dyDescent="0.25">
      <c r="A34" s="4">
        <v>2014</v>
      </c>
      <c r="B34" s="7">
        <v>23</v>
      </c>
      <c r="C34" s="13">
        <f t="shared" si="5"/>
        <v>425014.62473553675</v>
      </c>
    </row>
    <row r="35" spans="1:3" x14ac:dyDescent="0.25">
      <c r="A35" s="4">
        <v>2015</v>
      </c>
      <c r="B35" s="7">
        <v>24</v>
      </c>
      <c r="C35" s="13">
        <f t="shared" si="5"/>
        <v>443675.56216061849</v>
      </c>
    </row>
    <row r="36" spans="1:3" x14ac:dyDescent="0.25">
      <c r="A36" s="4">
        <v>2016</v>
      </c>
      <c r="B36" s="7">
        <v>25</v>
      </c>
      <c r="C36" s="13">
        <f t="shared" si="5"/>
        <v>463155.83747507172</v>
      </c>
    </row>
    <row r="37" spans="1:3" x14ac:dyDescent="0.25">
      <c r="A37" s="4">
        <v>2017</v>
      </c>
      <c r="B37" s="7">
        <v>26</v>
      </c>
      <c r="C37" s="13">
        <f t="shared" si="5"/>
        <v>483491.42500117555</v>
      </c>
    </row>
    <row r="38" spans="1:3" x14ac:dyDescent="0.25">
      <c r="A38" s="4">
        <v>2018</v>
      </c>
      <c r="B38" s="7">
        <v>27</v>
      </c>
      <c r="C38" s="13">
        <f t="shared" si="5"/>
        <v>504719.87857056671</v>
      </c>
    </row>
    <row r="39" spans="1:3" x14ac:dyDescent="0.25">
      <c r="A39" s="4">
        <v>2019</v>
      </c>
      <c r="B39" s="7">
        <v>28</v>
      </c>
      <c r="C39" s="13">
        <f t="shared" si="5"/>
        <v>526880.40087508946</v>
      </c>
    </row>
    <row r="40" spans="1:3" x14ac:dyDescent="0.25">
      <c r="A40" s="4">
        <v>2020</v>
      </c>
      <c r="B40" s="7">
        <v>29</v>
      </c>
      <c r="C40" s="13">
        <f t="shared" si="5"/>
        <v>550013.915862603</v>
      </c>
    </row>
    <row r="41" spans="1:3" x14ac:dyDescent="0.25">
      <c r="A41" s="4">
        <v>2021</v>
      </c>
      <c r="B41" s="7">
        <v>30</v>
      </c>
      <c r="C41" s="13">
        <f t="shared" si="5"/>
        <v>574163.14431144251</v>
      </c>
    </row>
    <row r="42" spans="1:3" x14ac:dyDescent="0.25">
      <c r="A42" s="4">
        <v>2022</v>
      </c>
      <c r="B42" s="7">
        <v>31</v>
      </c>
      <c r="C42" s="13">
        <f t="shared" si="5"/>
        <v>599372.68272309366</v>
      </c>
    </row>
    <row r="43" spans="1:3" x14ac:dyDescent="0.25">
      <c r="A43" s="4">
        <v>2023</v>
      </c>
      <c r="B43" s="7">
        <v>32</v>
      </c>
      <c r="C43" s="13">
        <f t="shared" si="5"/>
        <v>625689.08567877719</v>
      </c>
    </row>
    <row r="44" spans="1:3" x14ac:dyDescent="0.25">
      <c r="A44" s="4">
        <v>2024</v>
      </c>
      <c r="B44" s="7">
        <v>33</v>
      </c>
      <c r="C44" s="13">
        <f t="shared" si="5"/>
        <v>653160.9518120276</v>
      </c>
    </row>
    <row r="45" spans="1:3" x14ac:dyDescent="0.25">
      <c r="A45" s="25">
        <v>2025</v>
      </c>
      <c r="B45" s="26">
        <v>34</v>
      </c>
      <c r="C45" s="27">
        <f t="shared" si="5"/>
        <v>681839.01355603314</v>
      </c>
    </row>
    <row r="46" spans="1:3" x14ac:dyDescent="0.25">
      <c r="A46" s="4">
        <v>2026</v>
      </c>
      <c r="B46" s="7">
        <v>35</v>
      </c>
      <c r="C46" s="13">
        <f t="shared" si="5"/>
        <v>711776.23083147604</v>
      </c>
    </row>
    <row r="47" spans="1:3" x14ac:dyDescent="0.25">
      <c r="A47" s="4">
        <v>2027</v>
      </c>
      <c r="B47" s="7">
        <v>36</v>
      </c>
      <c r="C47" s="13">
        <f t="shared" si="5"/>
        <v>743027.88884788344</v>
      </c>
    </row>
    <row r="48" spans="1:3" x14ac:dyDescent="0.25">
      <c r="A48" s="4">
        <v>2028</v>
      </c>
      <c r="B48" s="7">
        <v>37</v>
      </c>
      <c r="C48" s="13">
        <f t="shared" si="5"/>
        <v>775651.7001991017</v>
      </c>
    </row>
    <row r="49" spans="1:3" x14ac:dyDescent="0.25">
      <c r="A49" s="4">
        <v>2029</v>
      </c>
      <c r="B49" s="7">
        <v>38</v>
      </c>
      <c r="C49" s="13">
        <f t="shared" si="5"/>
        <v>809707.91144143324</v>
      </c>
    </row>
    <row r="50" spans="1:3" x14ac:dyDescent="0.25">
      <c r="A50" s="4">
        <v>2030</v>
      </c>
      <c r="B50" s="7">
        <v>39</v>
      </c>
      <c r="C50" s="13">
        <f t="shared" si="5"/>
        <v>845259.41435125505</v>
      </c>
    </row>
    <row r="51" spans="1:3" x14ac:dyDescent="0.25">
      <c r="A51" s="4">
        <v>2031</v>
      </c>
      <c r="B51" s="7">
        <v>40</v>
      </c>
      <c r="C51" s="13">
        <f t="shared" si="5"/>
        <v>882371.86206757755</v>
      </c>
    </row>
    <row r="52" spans="1:3" x14ac:dyDescent="0.25">
      <c r="A52" s="4">
        <v>2032</v>
      </c>
      <c r="B52" s="7">
        <v>41</v>
      </c>
      <c r="C52" s="13">
        <f t="shared" si="5"/>
        <v>921113.79033402656</v>
      </c>
    </row>
    <row r="53" spans="1:3" x14ac:dyDescent="0.25">
      <c r="A53" s="4">
        <v>2033</v>
      </c>
      <c r="B53" s="7">
        <v>42</v>
      </c>
      <c r="C53" s="13">
        <f t="shared" si="5"/>
        <v>961556.74406414549</v>
      </c>
    </row>
    <row r="54" spans="1:3" x14ac:dyDescent="0.25">
      <c r="A54" s="4">
        <v>2034</v>
      </c>
      <c r="B54" s="7">
        <v>43</v>
      </c>
      <c r="C54" s="13">
        <f t="shared" si="5"/>
        <v>1003775.4094637459</v>
      </c>
    </row>
    <row r="55" spans="1:3" x14ac:dyDescent="0.25">
      <c r="A55" s="4">
        <v>2035</v>
      </c>
      <c r="B55" s="7">
        <v>44</v>
      </c>
      <c r="C55" s="13">
        <f t="shared" si="5"/>
        <v>1047847.7519542999</v>
      </c>
    </row>
    <row r="56" spans="1:3" x14ac:dyDescent="0.25">
      <c r="A56" s="4">
        <v>2036</v>
      </c>
      <c r="B56" s="7">
        <v>45</v>
      </c>
      <c r="C56" s="13">
        <f t="shared" si="5"/>
        <v>1093855.1601520742</v>
      </c>
    </row>
    <row r="57" spans="1:3" x14ac:dyDescent="0.25">
      <c r="A57" s="4">
        <v>2037</v>
      </c>
      <c r="B57" s="7">
        <v>46</v>
      </c>
      <c r="C57" s="13">
        <f t="shared" si="5"/>
        <v>1141882.5961688987</v>
      </c>
    </row>
    <row r="58" spans="1:3" x14ac:dyDescent="0.25">
      <c r="A58" s="4">
        <v>2038</v>
      </c>
      <c r="B58" s="7">
        <v>47</v>
      </c>
      <c r="C58" s="13">
        <f t="shared" si="5"/>
        <v>1192018.7525121232</v>
      </c>
    </row>
    <row r="59" spans="1:3" x14ac:dyDescent="0.25">
      <c r="A59" s="4">
        <v>2039</v>
      </c>
      <c r="B59" s="7">
        <v>48</v>
      </c>
      <c r="C59" s="13">
        <f t="shared" si="5"/>
        <v>1244356.2158735171</v>
      </c>
    </row>
    <row r="60" spans="1:3" x14ac:dyDescent="0.25">
      <c r="A60" s="4">
        <v>2040</v>
      </c>
      <c r="B60" s="7">
        <v>49</v>
      </c>
      <c r="C60" s="13">
        <f t="shared" si="5"/>
        <v>1298991.6381095785</v>
      </c>
    </row>
    <row r="61" spans="1:3" x14ac:dyDescent="0.25">
      <c r="A61" s="4">
        <v>2041</v>
      </c>
      <c r="B61" s="7">
        <v>50</v>
      </c>
      <c r="C61" s="13">
        <f t="shared" si="5"/>
        <v>1356025.9147290024</v>
      </c>
    </row>
    <row r="62" spans="1:3" x14ac:dyDescent="0.25">
      <c r="A62" s="4">
        <v>2042</v>
      </c>
      <c r="B62" s="7">
        <v>51</v>
      </c>
      <c r="C62" s="13">
        <f t="shared" si="5"/>
        <v>1415564.3712169246</v>
      </c>
    </row>
    <row r="63" spans="1:3" x14ac:dyDescent="0.25">
      <c r="A63" s="4">
        <v>2043</v>
      </c>
      <c r="B63" s="7">
        <v>52</v>
      </c>
      <c r="C63" s="13">
        <f t="shared" si="5"/>
        <v>1477716.9575400217</v>
      </c>
    </row>
    <row r="64" spans="1:3" x14ac:dyDescent="0.25">
      <c r="A64" s="4">
        <v>2044</v>
      </c>
      <c r="B64" s="7">
        <v>53</v>
      </c>
      <c r="C64" s="13">
        <f t="shared" si="5"/>
        <v>1542598.4511916705</v>
      </c>
    </row>
    <row r="65" spans="1:3" x14ac:dyDescent="0.25">
      <c r="A65" s="4">
        <v>2045</v>
      </c>
      <c r="B65" s="7">
        <v>54</v>
      </c>
      <c r="C65" s="13">
        <f t="shared" si="5"/>
        <v>1610328.669152118</v>
      </c>
    </row>
    <row r="66" spans="1:3" x14ac:dyDescent="0.25">
      <c r="A66" s="4">
        <v>2046</v>
      </c>
      <c r="B66" s="7">
        <v>55</v>
      </c>
      <c r="C66" s="13">
        <f t="shared" si="5"/>
        <v>1681032.6891551036</v>
      </c>
    </row>
    <row r="67" spans="1:3" x14ac:dyDescent="0.25">
      <c r="A67" s="4">
        <v>2047</v>
      </c>
      <c r="B67" s="7">
        <v>56</v>
      </c>
      <c r="C67" s="13">
        <f t="shared" si="5"/>
        <v>1754841.0806695367</v>
      </c>
    </row>
    <row r="68" spans="1:3" x14ac:dyDescent="0.25">
      <c r="A68" s="4">
        <v>2048</v>
      </c>
      <c r="B68" s="7">
        <v>57</v>
      </c>
      <c r="C68" s="13">
        <f t="shared" si="5"/>
        <v>1831890.1460227906</v>
      </c>
    </row>
    <row r="69" spans="1:3" x14ac:dyDescent="0.25">
      <c r="A69" s="4">
        <v>2049</v>
      </c>
      <c r="B69" s="7">
        <v>58</v>
      </c>
      <c r="C69" s="13">
        <f t="shared" si="5"/>
        <v>1912322.1721108963</v>
      </c>
    </row>
    <row r="70" spans="1:3" x14ac:dyDescent="0.25">
      <c r="A70" s="25">
        <v>2050</v>
      </c>
      <c r="B70" s="26">
        <v>59</v>
      </c>
      <c r="C70" s="28">
        <f t="shared" si="5"/>
        <v>1996285.6931604673</v>
      </c>
    </row>
    <row r="71" spans="1:3" x14ac:dyDescent="0.25">
      <c r="A71" s="4">
        <v>2051</v>
      </c>
      <c r="B71" s="7">
        <v>60</v>
      </c>
      <c r="C71" s="13">
        <f t="shared" si="5"/>
        <v>2083935.7650276038</v>
      </c>
    </row>
    <row r="72" spans="1:3" x14ac:dyDescent="0.25">
      <c r="A72" s="4">
        <v>2052</v>
      </c>
      <c r="B72" s="7">
        <v>61</v>
      </c>
      <c r="C72" s="13">
        <f t="shared" si="5"/>
        <v>2175434.2515403158</v>
      </c>
    </row>
    <row r="73" spans="1:3" x14ac:dyDescent="0.25">
      <c r="A73" s="4">
        <v>2053</v>
      </c>
      <c r="B73" s="7">
        <v>62</v>
      </c>
      <c r="C73" s="13">
        <f t="shared" si="5"/>
        <v>2270950.1234132755</v>
      </c>
    </row>
    <row r="74" spans="1:3" x14ac:dyDescent="0.25">
      <c r="A74" s="4">
        <v>2054</v>
      </c>
      <c r="B74" s="7">
        <v>63</v>
      </c>
      <c r="C74" s="13">
        <f t="shared" si="5"/>
        <v>2370659.7702868772</v>
      </c>
    </row>
    <row r="75" spans="1:3" x14ac:dyDescent="0.25">
      <c r="A75" s="4">
        <v>2055</v>
      </c>
      <c r="B75" s="7">
        <v>64</v>
      </c>
      <c r="C75" s="13">
        <f t="shared" si="5"/>
        <v>2474747.3264668779</v>
      </c>
    </row>
    <row r="76" spans="1:3" x14ac:dyDescent="0.25">
      <c r="A76" s="4">
        <v>2056</v>
      </c>
      <c r="B76" s="7">
        <v>65</v>
      </c>
      <c r="C76" s="13">
        <f t="shared" si="5"/>
        <v>2583405.0109661408</v>
      </c>
    </row>
    <row r="77" spans="1:3" x14ac:dyDescent="0.25">
      <c r="A77" s="4">
        <v>2057</v>
      </c>
      <c r="B77" s="7">
        <v>66</v>
      </c>
      <c r="C77" s="13">
        <f t="shared" si="5"/>
        <v>2696833.4824764556</v>
      </c>
    </row>
    <row r="78" spans="1:3" x14ac:dyDescent="0.25">
      <c r="A78" s="4">
        <v>2058</v>
      </c>
      <c r="B78" s="7">
        <v>67</v>
      </c>
      <c r="C78" s="13">
        <f t="shared" si="5"/>
        <v>2815242.2099259472</v>
      </c>
    </row>
    <row r="79" spans="1:3" x14ac:dyDescent="0.25">
      <c r="A79" s="4">
        <v>2059</v>
      </c>
      <c r="B79" s="7">
        <v>68</v>
      </c>
      <c r="C79" s="13">
        <f t="shared" si="5"/>
        <v>2938849.8593064053</v>
      </c>
    </row>
    <row r="80" spans="1:3" x14ac:dyDescent="0.25">
      <c r="A80" s="4">
        <v>2060</v>
      </c>
      <c r="B80" s="7">
        <v>69</v>
      </c>
      <c r="C80" s="13">
        <f t="shared" si="5"/>
        <v>3067884.6974848625</v>
      </c>
    </row>
    <row r="81" spans="1:3" x14ac:dyDescent="0.25">
      <c r="A81" s="4">
        <v>2061</v>
      </c>
      <c r="B81" s="7">
        <v>70</v>
      </c>
      <c r="C81" s="13">
        <f t="shared" si="5"/>
        <v>3202585.0137451654</v>
      </c>
    </row>
    <row r="82" spans="1:3" x14ac:dyDescent="0.25">
      <c r="A82" s="4">
        <v>2062</v>
      </c>
      <c r="B82" s="7">
        <v>71</v>
      </c>
      <c r="C82" s="13">
        <f t="shared" si="5"/>
        <v>3343199.5598379984</v>
      </c>
    </row>
    <row r="83" spans="1:3" x14ac:dyDescent="0.25">
      <c r="A83" s="4">
        <v>2063</v>
      </c>
      <c r="B83" s="7">
        <v>72</v>
      </c>
      <c r="C83" s="13">
        <f t="shared" si="5"/>
        <v>3489988.0093519837</v>
      </c>
    </row>
    <row r="84" spans="1:3" x14ac:dyDescent="0.25">
      <c r="A84" s="4">
        <v>2064</v>
      </c>
      <c r="B84" s="7">
        <v>73</v>
      </c>
      <c r="C84" s="13">
        <f t="shared" si="5"/>
        <v>3643221.4372542053</v>
      </c>
    </row>
    <row r="85" spans="1:3" x14ac:dyDescent="0.25">
      <c r="A85" s="4">
        <v>2065</v>
      </c>
      <c r="B85" s="7">
        <v>74</v>
      </c>
      <c r="C85" s="13">
        <f t="shared" si="5"/>
        <v>3803182.8204857144</v>
      </c>
    </row>
    <row r="86" spans="1:3" x14ac:dyDescent="0.25">
      <c r="A86" s="4">
        <v>2066</v>
      </c>
      <c r="B86" s="7">
        <v>75</v>
      </c>
      <c r="C86" s="13">
        <f t="shared" si="5"/>
        <v>3970167.5605364623</v>
      </c>
    </row>
    <row r="87" spans="1:3" x14ac:dyDescent="0.25">
      <c r="A87" s="4">
        <v>2067</v>
      </c>
      <c r="B87" s="7">
        <v>76</v>
      </c>
      <c r="C87" s="13">
        <f t="shared" si="5"/>
        <v>4144484.0289647211</v>
      </c>
    </row>
    <row r="88" spans="1:3" x14ac:dyDescent="0.25">
      <c r="A88" s="4">
        <v>2068</v>
      </c>
      <c r="B88" s="7">
        <v>77</v>
      </c>
      <c r="C88" s="13">
        <f t="shared" si="5"/>
        <v>4326454.1368683856</v>
      </c>
    </row>
    <row r="89" spans="1:3" x14ac:dyDescent="0.25">
      <c r="A89" s="4">
        <v>2069</v>
      </c>
      <c r="B89" s="7">
        <v>78</v>
      </c>
      <c r="C89" s="13">
        <f t="shared" si="5"/>
        <v>4516413.9293598216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Cutrone, Joseph</dc:creator>
  <cp:lastModifiedBy>Shubhendra Kumar</cp:lastModifiedBy>
  <dcterms:created xsi:type="dcterms:W3CDTF">2022-03-03T21:21:57Z</dcterms:created>
  <dcterms:modified xsi:type="dcterms:W3CDTF">2024-12-18T13:26:09Z</dcterms:modified>
</cp:coreProperties>
</file>