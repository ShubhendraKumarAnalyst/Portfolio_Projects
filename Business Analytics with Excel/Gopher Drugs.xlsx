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\OneDrive\Desktop\Projects\Business Analytics with Excel\"/>
    </mc:Choice>
  </mc:AlternateContent>
  <xr:revisionPtr revIDLastSave="0" documentId="13_ncr:1_{B17C98F6-D552-4000-9CC8-CF45CEABBE69}" xr6:coauthVersionLast="47" xr6:coauthVersionMax="47" xr10:uidLastSave="{00000000-0000-0000-0000-000000000000}"/>
  <bookViews>
    <workbookView xWindow="-120" yWindow="-120" windowWidth="20730" windowHeight="11310" xr2:uid="{0AA624C7-096D-4C72-A239-E468E2EBE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4" i="1"/>
  <c r="F24" i="1" l="1"/>
  <c r="B11" i="1" s="1"/>
  <c r="B12" i="1"/>
</calcChain>
</file>

<file path=xl/sharedStrings.xml><?xml version="1.0" encoding="utf-8"?>
<sst xmlns="http://schemas.openxmlformats.org/spreadsheetml/2006/main" count="40" uniqueCount="17">
  <si>
    <t>Gopher Drugs</t>
  </si>
  <si>
    <t>Development Cost:</t>
  </si>
  <si>
    <t>Millions</t>
  </si>
  <si>
    <t>Lifetime:</t>
  </si>
  <si>
    <t>20 Years</t>
  </si>
  <si>
    <t>Gross Margin in 1 Year:</t>
  </si>
  <si>
    <t>Rate of Increase:</t>
  </si>
  <si>
    <t>Time period od increase:</t>
  </si>
  <si>
    <t>Years</t>
  </si>
  <si>
    <t>Rate of Decrease:</t>
  </si>
  <si>
    <t>Discount Rate:</t>
  </si>
  <si>
    <t>Cashflow in 20 Years:</t>
  </si>
  <si>
    <t>Gross Margin</t>
  </si>
  <si>
    <t>(Net) Present Value:</t>
  </si>
  <si>
    <t>Net Present Value</t>
  </si>
  <si>
    <t>.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</si>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</sst>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12">
    <xf numFmtId="0" fontId="0" fillId="0" borderId="0" xfId="0"/>
    <xf numFmtId="0" fontId="2" fillId="2" borderId="2" xfId="2" applyBorder="1" applyAlignment="1">
      <alignment horizontal="center"/>
    </xf>
    <xf numFmtId="0" fontId="2" fillId="2" borderId="0" xfId="2" applyBorder="1" applyAlignment="1">
      <alignment horizontal="center"/>
    </xf>
    <xf numFmtId="8" fontId="0" fillId="0" borderId="0" xfId="0" applyNumberFormat="1"/>
    <xf numFmtId="0" fontId="0" fillId="3" borderId="0" xfId="0" applyFill="1" applyAlignment="1">
      <alignment horizontal="center"/>
    </xf>
    <xf numFmtId="0" fontId="0" fillId="0" borderId="3" xfId="0" applyBorder="1"/>
    <xf numFmtId="9" fontId="0" fillId="0" borderId="3" xfId="0" applyNumberFormat="1" applyBorder="1"/>
    <xf numFmtId="0" fontId="0" fillId="4" borderId="0" xfId="0" applyFill="1" applyBorder="1"/>
    <xf numFmtId="0" fontId="0" fillId="0" borderId="0" xfId="0" applyBorder="1"/>
    <xf numFmtId="44" fontId="0" fillId="0" borderId="0" xfId="1" applyFont="1" applyBorder="1"/>
    <xf numFmtId="0" fontId="0" fillId="5" borderId="0" xfId="0" applyFill="1" applyBorder="1"/>
    <xf numFmtId="44" fontId="0" fillId="5" borderId="0" xfId="1" applyFont="1" applyFill="1" applyBorder="1"/>
  </cellXfs>
  <cellStyles count="3">
    <cellStyle name="Currency" xfId="1" builtinId="4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0</xdr:row>
      <xdr:rowOff>9525</xdr:rowOff>
    </xdr:from>
    <xdr:to>
      <xdr:col>21</xdr:col>
      <xdr:colOff>103774</xdr:colOff>
      <xdr:row>20</xdr:row>
      <xdr:rowOff>94763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D1A47B-B49F-1595-436B-E83854770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9525"/>
          <a:ext cx="8009524" cy="389523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02376-E435-45F2-9017-975C8D36EF18}" name="Table1" displayName="Table1" ref="E3:G24" totalsRowShown="0">
  <tableColumns count="3">
    <tableColumn id="1" xr3:uid="{BA940256-1D03-4159-88BC-00F4CDC5EB2C}" name="Years"/>
    <tableColumn id="2" xr3:uid="{1C0C61F4-1322-41B4-8B84-C7851C5DC753}" name="Gross Margin" dataCellStyle="Currency">
      <calculatedColumnFormula>IF(E4&lt;=$B$7,F3*(1+$B$6),F3*(1-$B$8))</calculatedColumnFormula>
    </tableColumn>
    <tableColumn id="3" xr3:uid="{D27814F9-2CC9-4DB0-B859-74761839BF0D}" name=".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EF59-9BD4-4823-BA41-CFC35EB6CF20}">
  <dimension ref="A1:G24"/>
  <sheetViews>
    <sheetView tabSelected="1" workbookViewId="0">
      <selection activeCell="B17" sqref="B17"/>
    </sheetView>
  </sheetViews>
  <sheetFormatPr defaultRowHeight="15" x14ac:dyDescent="0.25"/>
  <cols>
    <col min="1" max="1" width="23.140625" bestFit="1" customWidth="1"/>
    <col min="2" max="2" width="8.28515625" bestFit="1" customWidth="1"/>
    <col min="3" max="3" width="8.140625" bestFit="1" customWidth="1"/>
    <col min="5" max="5" width="8" customWidth="1"/>
    <col min="6" max="6" width="14.85546875" customWidth="1"/>
    <col min="7" max="7" width="11" customWidth="1"/>
  </cols>
  <sheetData>
    <row r="1" spans="1:7" x14ac:dyDescent="0.25">
      <c r="A1" s="1" t="s">
        <v>0</v>
      </c>
      <c r="B1" s="2"/>
    </row>
    <row r="2" spans="1:7" x14ac:dyDescent="0.25">
      <c r="E2" s="4" t="s">
        <v>11</v>
      </c>
      <c r="F2" s="4"/>
      <c r="G2" s="4"/>
    </row>
    <row r="3" spans="1:7" x14ac:dyDescent="0.25">
      <c r="A3" s="5" t="s">
        <v>1</v>
      </c>
      <c r="B3" s="5">
        <v>9.3000000000000007</v>
      </c>
      <c r="C3" t="s">
        <v>2</v>
      </c>
      <c r="E3" s="7" t="s">
        <v>8</v>
      </c>
      <c r="F3" s="7" t="s">
        <v>12</v>
      </c>
      <c r="G3" s="8" t="s">
        <v>15</v>
      </c>
    </row>
    <row r="4" spans="1:7" x14ac:dyDescent="0.25">
      <c r="A4" s="5" t="s">
        <v>3</v>
      </c>
      <c r="B4" s="5" t="s">
        <v>4</v>
      </c>
      <c r="E4" s="8">
        <v>1</v>
      </c>
      <c r="F4" s="9">
        <f>B5</f>
        <v>1.2</v>
      </c>
      <c r="G4" s="8" t="s">
        <v>2</v>
      </c>
    </row>
    <row r="5" spans="1:7" x14ac:dyDescent="0.25">
      <c r="A5" s="5" t="s">
        <v>5</v>
      </c>
      <c r="B5" s="5">
        <v>1.2</v>
      </c>
      <c r="C5" t="s">
        <v>2</v>
      </c>
      <c r="E5" s="8">
        <v>2</v>
      </c>
      <c r="F5" s="9">
        <f>IF(E5&lt;=$B$7,F4*(1+$B$6),$F$11*(1-$B$8))</f>
        <v>1.32</v>
      </c>
      <c r="G5" s="8" t="s">
        <v>2</v>
      </c>
    </row>
    <row r="6" spans="1:7" x14ac:dyDescent="0.25">
      <c r="A6" s="5" t="s">
        <v>6</v>
      </c>
      <c r="B6" s="6">
        <v>0.1</v>
      </c>
      <c r="E6" s="8">
        <v>3</v>
      </c>
      <c r="F6" s="9">
        <f t="shared" ref="F6:F10" si="0">IF(E6&lt;=$B$7,F5*(1+$B$6),$F$11*(1-$B$8))</f>
        <v>1.4520000000000002</v>
      </c>
      <c r="G6" s="8" t="s">
        <v>2</v>
      </c>
    </row>
    <row r="7" spans="1:7" x14ac:dyDescent="0.25">
      <c r="A7" s="5" t="s">
        <v>7</v>
      </c>
      <c r="B7" s="5">
        <v>8</v>
      </c>
      <c r="C7" t="s">
        <v>8</v>
      </c>
      <c r="E7" s="8">
        <v>4</v>
      </c>
      <c r="F7" s="9">
        <f t="shared" si="0"/>
        <v>1.5972000000000004</v>
      </c>
      <c r="G7" s="8" t="s">
        <v>2</v>
      </c>
    </row>
    <row r="8" spans="1:7" x14ac:dyDescent="0.25">
      <c r="A8" s="5" t="s">
        <v>9</v>
      </c>
      <c r="B8" s="6">
        <v>0.05</v>
      </c>
      <c r="E8" s="8">
        <v>5</v>
      </c>
      <c r="F8" s="9">
        <f t="shared" si="0"/>
        <v>1.7569200000000005</v>
      </c>
      <c r="G8" s="8" t="s">
        <v>2</v>
      </c>
    </row>
    <row r="9" spans="1:7" x14ac:dyDescent="0.25">
      <c r="A9" s="5" t="s">
        <v>10</v>
      </c>
      <c r="B9" s="6">
        <v>0.12</v>
      </c>
      <c r="E9" s="8">
        <v>6</v>
      </c>
      <c r="F9" s="9">
        <f t="shared" si="0"/>
        <v>1.9326120000000007</v>
      </c>
      <c r="G9" s="8" t="s">
        <v>2</v>
      </c>
    </row>
    <row r="10" spans="1:7" x14ac:dyDescent="0.25">
      <c r="E10" s="8">
        <v>7</v>
      </c>
      <c r="F10" s="9">
        <f t="shared" si="0"/>
        <v>2.1258732000000009</v>
      </c>
      <c r="G10" s="8" t="s">
        <v>2</v>
      </c>
    </row>
    <row r="11" spans="1:7" x14ac:dyDescent="0.25">
      <c r="A11" t="s">
        <v>13</v>
      </c>
      <c r="B11" s="3">
        <f>NPV(B9,F4:F24)</f>
        <v>15.760758271481183</v>
      </c>
      <c r="E11" s="8">
        <v>8</v>
      </c>
      <c r="F11" s="9">
        <f>IF(E11&lt;=$B$7,F10*(1+$B$6),$F$11*(1-$B$8))</f>
        <v>2.3384605200000013</v>
      </c>
      <c r="G11" s="8" t="s">
        <v>2</v>
      </c>
    </row>
    <row r="12" spans="1:7" x14ac:dyDescent="0.25">
      <c r="A12" t="s">
        <v>14</v>
      </c>
      <c r="B12" s="3">
        <f>B11-B3</f>
        <v>6.4607582714811826</v>
      </c>
      <c r="C12" t="s">
        <v>2</v>
      </c>
      <c r="E12" s="8">
        <v>9</v>
      </c>
      <c r="F12" s="9">
        <f>IF(E12&lt;=$B$7,F11*(1+$B$6),F11*(1-$B$8))</f>
        <v>2.221537494000001</v>
      </c>
      <c r="G12" s="8" t="s">
        <v>2</v>
      </c>
    </row>
    <row r="13" spans="1:7" x14ac:dyDescent="0.25">
      <c r="E13" s="8">
        <v>10</v>
      </c>
      <c r="F13" s="9">
        <f t="shared" ref="F13:F23" si="1">IF(E13&lt;=$B$7,F12*(1+$B$6),F12*(1-$B$8))</f>
        <v>2.1104606193000008</v>
      </c>
      <c r="G13" s="8" t="s">
        <v>2</v>
      </c>
    </row>
    <row r="14" spans="1:7" x14ac:dyDescent="0.25">
      <c r="E14" s="8">
        <v>11</v>
      </c>
      <c r="F14" s="9">
        <f t="shared" si="1"/>
        <v>2.0049375883350007</v>
      </c>
      <c r="G14" s="8" t="s">
        <v>2</v>
      </c>
    </row>
    <row r="15" spans="1:7" x14ac:dyDescent="0.25">
      <c r="E15" s="8">
        <v>12</v>
      </c>
      <c r="F15" s="9">
        <f>IF(E15&lt;$B$7,F14*(1+$B$6),F14*(1-$B$8))</f>
        <v>1.9046907089182505</v>
      </c>
      <c r="G15" s="8" t="s">
        <v>2</v>
      </c>
    </row>
    <row r="16" spans="1:7" x14ac:dyDescent="0.25">
      <c r="E16" s="8">
        <v>13</v>
      </c>
      <c r="F16" s="9">
        <f t="shared" si="1"/>
        <v>1.809456173472338</v>
      </c>
      <c r="G16" s="8" t="s">
        <v>2</v>
      </c>
    </row>
    <row r="17" spans="5:7" x14ac:dyDescent="0.25">
      <c r="E17" s="8">
        <v>14</v>
      </c>
      <c r="F17" s="9">
        <f t="shared" si="1"/>
        <v>1.7189833647987209</v>
      </c>
      <c r="G17" s="8" t="s">
        <v>2</v>
      </c>
    </row>
    <row r="18" spans="5:7" x14ac:dyDescent="0.25">
      <c r="E18" s="8">
        <v>15</v>
      </c>
      <c r="F18" s="9">
        <f t="shared" si="1"/>
        <v>1.6330341965587849</v>
      </c>
      <c r="G18" s="8" t="s">
        <v>2</v>
      </c>
    </row>
    <row r="19" spans="5:7" x14ac:dyDescent="0.25">
      <c r="E19" s="8">
        <v>16</v>
      </c>
      <c r="F19" s="9">
        <f t="shared" si="1"/>
        <v>1.5513824867308457</v>
      </c>
      <c r="G19" s="8" t="s">
        <v>2</v>
      </c>
    </row>
    <row r="20" spans="5:7" x14ac:dyDescent="0.25">
      <c r="E20" s="8">
        <v>17</v>
      </c>
      <c r="F20" s="9">
        <f t="shared" si="1"/>
        <v>1.4738133623943033</v>
      </c>
      <c r="G20" s="8" t="s">
        <v>2</v>
      </c>
    </row>
    <row r="21" spans="5:7" x14ac:dyDescent="0.25">
      <c r="E21" s="8">
        <v>18</v>
      </c>
      <c r="F21" s="9">
        <f t="shared" si="1"/>
        <v>1.4001226942745881</v>
      </c>
      <c r="G21" s="8" t="s">
        <v>2</v>
      </c>
    </row>
    <row r="22" spans="5:7" x14ac:dyDescent="0.25">
      <c r="E22" s="8">
        <v>19</v>
      </c>
      <c r="F22" s="9">
        <f t="shared" si="1"/>
        <v>1.3301165595608586</v>
      </c>
      <c r="G22" s="8" t="s">
        <v>2</v>
      </c>
    </row>
    <row r="23" spans="5:7" x14ac:dyDescent="0.25">
      <c r="E23" s="8">
        <v>20</v>
      </c>
      <c r="F23" s="9">
        <f t="shared" si="1"/>
        <v>1.2636107315828156</v>
      </c>
      <c r="G23" s="8" t="s">
        <v>2</v>
      </c>
    </row>
    <row r="24" spans="5:7" x14ac:dyDescent="0.25">
      <c r="E24" s="10" t="s">
        <v>16</v>
      </c>
      <c r="F24" s="11">
        <f>SUM(F4:F23)</f>
        <v>34.145211699926513</v>
      </c>
      <c r="G24" s="10"/>
    </row>
  </sheetData>
  <mergeCells count="2">
    <mergeCell ref="A1:B1"/>
    <mergeCell ref="E2:G2"/>
  </mergeCells>
  <pageMargins left="0.7" right="0.7" top="0.75" bottom="0.75" header="0.3" footer="0.3"/>
  <ignoredErrors>
    <ignoredError sqref="F4 F15 F24 F5:F11" calculatedColumn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Shubhendra Kumar</dc:creator>
  <cp:lastModifiedBy>Shubhendra Kumar</cp:lastModifiedBy>
  <dcterms:created xsi:type="dcterms:W3CDTF">2024-12-18T09:11:08Z</dcterms:created>
  <dcterms:modified xsi:type="dcterms:W3CDTF">2024-12-18T10:06:14Z</dcterms:modified>
</cp:coreProperties>
</file>