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\OneDrive\Desktop\Projects\Business Analytics with Excel\"/>
    </mc:Choice>
  </mc:AlternateContent>
  <xr:revisionPtr revIDLastSave="0" documentId="13_ncr:1_{16EDD94F-1D7D-4042-818F-6F57646F547E}" xr6:coauthVersionLast="47" xr6:coauthVersionMax="47" xr10:uidLastSave="{00000000-0000-0000-0000-000000000000}"/>
  <bookViews>
    <workbookView xWindow="-120" yWindow="-120" windowWidth="20730" windowHeight="11310" xr2:uid="{56336731-1893-4AA5-92A3-B1250E1F3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 s="1"/>
  <c r="B42" i="1"/>
  <c r="B43" i="1"/>
  <c r="G37" i="1"/>
  <c r="H37" i="1"/>
  <c r="F37" i="1"/>
  <c r="H26" i="1"/>
  <c r="H27" i="1"/>
  <c r="H28" i="1"/>
  <c r="H29" i="1"/>
  <c r="H30" i="1"/>
  <c r="H31" i="1"/>
  <c r="H32" i="1"/>
  <c r="H33" i="1"/>
  <c r="H34" i="1"/>
  <c r="H35" i="1"/>
  <c r="H36" i="1"/>
  <c r="H25" i="1"/>
  <c r="G26" i="1"/>
  <c r="G27" i="1"/>
  <c r="G28" i="1"/>
  <c r="G29" i="1"/>
  <c r="G30" i="1"/>
  <c r="G31" i="1"/>
  <c r="G32" i="1"/>
  <c r="G33" i="1"/>
  <c r="G34" i="1"/>
  <c r="G35" i="1"/>
  <c r="G36" i="1"/>
  <c r="G25" i="1"/>
  <c r="F26" i="1"/>
  <c r="F27" i="1"/>
  <c r="F28" i="1"/>
  <c r="F29" i="1"/>
  <c r="F30" i="1"/>
  <c r="F31" i="1"/>
  <c r="F32" i="1"/>
  <c r="F33" i="1"/>
  <c r="F34" i="1"/>
  <c r="F35" i="1"/>
  <c r="F36" i="1"/>
  <c r="F25" i="1"/>
  <c r="D36" i="1"/>
  <c r="D35" i="1"/>
  <c r="D34" i="1"/>
  <c r="D33" i="1"/>
  <c r="D32" i="1"/>
  <c r="D31" i="1"/>
  <c r="D30" i="1"/>
  <c r="D29" i="1"/>
  <c r="D28" i="1"/>
  <c r="D27" i="1"/>
  <c r="D26" i="1"/>
  <c r="D25" i="1"/>
  <c r="C26" i="1"/>
  <c r="C27" i="1"/>
  <c r="C28" i="1"/>
  <c r="C29" i="1"/>
  <c r="C30" i="1"/>
  <c r="C31" i="1"/>
  <c r="C32" i="1"/>
  <c r="C33" i="1"/>
  <c r="C34" i="1"/>
  <c r="C35" i="1"/>
  <c r="C36" i="1"/>
  <c r="C25" i="1"/>
  <c r="B26" i="1"/>
  <c r="B27" i="1"/>
  <c r="B28" i="1"/>
  <c r="B29" i="1"/>
  <c r="B30" i="1"/>
  <c r="B31" i="1"/>
  <c r="B32" i="1"/>
  <c r="B33" i="1"/>
  <c r="B34" i="1"/>
  <c r="B35" i="1"/>
  <c r="B36" i="1"/>
  <c r="B25" i="1"/>
  <c r="O8" i="1" l="1"/>
  <c r="O9" i="1"/>
  <c r="O10" i="1" s="1"/>
  <c r="O13" i="1" s="1"/>
  <c r="B46" i="1"/>
  <c r="G41" i="1" s="1"/>
  <c r="B45" i="1"/>
  <c r="B47" i="1" l="1"/>
</calcChain>
</file>

<file path=xl/sharedStrings.xml><?xml version="1.0" encoding="utf-8"?>
<sst xmlns="http://schemas.openxmlformats.org/spreadsheetml/2006/main" count="56" uniqueCount="39">
  <si>
    <t>Month</t>
  </si>
  <si>
    <t>Price</t>
  </si>
  <si>
    <t>Demand (00s)</t>
  </si>
  <si>
    <t>Linear: y=mx+b</t>
  </si>
  <si>
    <t>intercept(b):</t>
  </si>
  <si>
    <t>Slope(m):</t>
  </si>
  <si>
    <t>Power: y =ax^b</t>
  </si>
  <si>
    <t>Exponent(b)</t>
  </si>
  <si>
    <t>Constant(a)</t>
  </si>
  <si>
    <t>Exponential: ae^(bx)</t>
  </si>
  <si>
    <t>Constant(a):</t>
  </si>
  <si>
    <t>Exponent(b):</t>
  </si>
  <si>
    <t>Prediction based on models:</t>
  </si>
  <si>
    <t>Linear</t>
  </si>
  <si>
    <t>Power</t>
  </si>
  <si>
    <t>Exponent</t>
  </si>
  <si>
    <t>Absolute Percentage Error</t>
  </si>
  <si>
    <t>Average:</t>
  </si>
  <si>
    <t>Linear %</t>
  </si>
  <si>
    <t>Power %</t>
  </si>
  <si>
    <t>Exponent %</t>
  </si>
  <si>
    <t>Model of Business:</t>
  </si>
  <si>
    <t>Unit Cost:</t>
  </si>
  <si>
    <t>Unit Cost</t>
  </si>
  <si>
    <t>Sale Price:</t>
  </si>
  <si>
    <t xml:space="preserve">Demand: </t>
  </si>
  <si>
    <t>Actual Demand:</t>
  </si>
  <si>
    <t>Cost:</t>
  </si>
  <si>
    <t>Revenue:</t>
  </si>
  <si>
    <t>Profit:</t>
  </si>
  <si>
    <t xml:space="preserve"> &lt;-- Use the smallest Value model</t>
  </si>
  <si>
    <t>&lt;-- Cost of unit price (Varibale)</t>
  </si>
  <si>
    <t>&lt;-- sale price (Varibale)</t>
  </si>
  <si>
    <t>&lt;-- Power mode demand (Varibale)</t>
  </si>
  <si>
    <t>&lt;--actual demand (Varibale)</t>
  </si>
  <si>
    <t>Answer</t>
  </si>
  <si>
    <t>1. Company should charge 530 to maximize its profit.</t>
  </si>
  <si>
    <t>2. it depends directly to the unit price.</t>
  </si>
  <si>
    <t>3. Yes, it is accurate with the error percentage of 6.2 %.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</si>
</sst>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₹-4009]\ * #,##0.00_ ;_ [$₹-4009]\ * \-#,##0.00_ ;_ [$₹-4009]\ * &quot;-&quot;??_ ;_ @_ "/>
    <numFmt numFmtId="165" formatCode="_ [$₹-4009]\ * #,##0_ ;_ [$₹-4009]\ * \-#,##0_ ;_ [$₹-4009]\ * &quot;-&quot;??_ ;_ @_ "/>
    <numFmt numFmtId="166" formatCode="0.0%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1F1F1F"/>
      <name val="Var(--cds-font-family-source-sa"/>
    </font>
    <font>
      <sz val="11"/>
      <color rgb="FF1F1F1F"/>
      <name val="Var(--cds-font-family-source-sa"/>
    </font>
    <font>
      <sz val="11"/>
      <color rgb="FF00000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2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0" fillId="0" borderId="1" xfId="0" applyBorder="1"/>
    <xf numFmtId="0" fontId="0" fillId="5" borderId="1" xfId="0" applyFill="1" applyBorder="1"/>
    <xf numFmtId="164" fontId="0" fillId="0" borderId="0" xfId="0" applyNumberFormat="1"/>
    <xf numFmtId="164" fontId="2" fillId="4" borderId="0" xfId="0" applyNumberFormat="1" applyFont="1" applyFill="1" applyAlignment="1">
      <alignment horizontal="left" vertical="center" wrapText="1"/>
    </xf>
    <xf numFmtId="164" fontId="0" fillId="0" borderId="1" xfId="0" applyNumberFormat="1" applyBorder="1"/>
    <xf numFmtId="164" fontId="0" fillId="5" borderId="1" xfId="0" applyNumberFormat="1" applyFill="1" applyBorder="1"/>
    <xf numFmtId="165" fontId="0" fillId="0" borderId="0" xfId="0" applyNumberFormat="1"/>
    <xf numFmtId="165" fontId="3" fillId="2" borderId="0" xfId="0" applyNumberFormat="1" applyFont="1" applyFill="1" applyAlignment="1">
      <alignment horizontal="left" vertical="center" wrapText="1"/>
    </xf>
    <xf numFmtId="0" fontId="0" fillId="6" borderId="0" xfId="0" applyFill="1"/>
    <xf numFmtId="0" fontId="0" fillId="7" borderId="0" xfId="0" applyFill="1"/>
    <xf numFmtId="164" fontId="0" fillId="7" borderId="0" xfId="0" applyNumberFormat="1" applyFill="1"/>
    <xf numFmtId="166" fontId="0" fillId="0" borderId="0" xfId="1" applyNumberFormat="1" applyFont="1"/>
    <xf numFmtId="0" fontId="0" fillId="3" borderId="0" xfId="0" applyFill="1"/>
    <xf numFmtId="166" fontId="0" fillId="3" borderId="0" xfId="0" applyNumberFormat="1" applyFill="1"/>
    <xf numFmtId="166" fontId="0" fillId="8" borderId="0" xfId="0" applyNumberFormat="1" applyFill="1"/>
    <xf numFmtId="164" fontId="0" fillId="9" borderId="0" xfId="0" applyNumberFormat="1" applyFill="1"/>
    <xf numFmtId="1" fontId="0" fillId="0" borderId="0" xfId="0" applyNumberFormat="1"/>
    <xf numFmtId="165" fontId="5" fillId="0" borderId="0" xfId="0" applyNumberFormat="1" applyFont="1"/>
    <xf numFmtId="165" fontId="0" fillId="11" borderId="0" xfId="0" applyNumberFormat="1" applyFill="1"/>
    <xf numFmtId="165" fontId="6" fillId="11" borderId="0" xfId="0" applyNumberFormat="1" applyFont="1" applyFill="1"/>
    <xf numFmtId="164" fontId="0" fillId="6" borderId="0" xfId="0" applyNumberFormat="1" applyFill="1"/>
    <xf numFmtId="0" fontId="0" fillId="12" borderId="0" xfId="0" applyFill="1"/>
    <xf numFmtId="0" fontId="0" fillId="13" borderId="0" xfId="0" applyFill="1"/>
    <xf numFmtId="0" fontId="0" fillId="6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left" vertical="top"/>
    </xf>
    <xf numFmtId="0" fontId="0" fillId="4" borderId="1" xfId="0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14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</cellXfs>
  <cellStyles count="2">
    <cellStyle name="Normal" xfId="0" builtinId="0"/>
    <cellStyle name="Percent" xfId="1" builtinId="5"/>
  </cellStyles>
  <dxfs count="9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%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5" formatCode="_ [$₹-4009]\ * #,##0_ ;_ [$₹-4009]\ * \-#,##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solid">
          <fgColor indexed="64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Var(--cds-font-family-source-sa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Var(--cds-font-family-source-sa"/>
        <scheme val="none"/>
      </font>
      <numFmt numFmtId="165" formatCode="_ [$₹-4009]\ * #,##0_ ;_ [$₹-4009]\ * \-#,##0_ ;_ [$₹-4009]\ * &quot;-&quot;??_ ;_ @_ 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Var(--cds-font-family-source-sa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Var(--cds-font-family-source-sa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Var(--cds-font-family-source-sa"/>
        <scheme val="none"/>
      </font>
      <fill>
        <patternFill patternType="solid">
          <fgColor indexed="64"/>
          <bgColor theme="5" tint="0.39997558519241921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Demand (00s)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9595363079615043E-2"/>
                  <c:y val="-0.564813721201516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5075850831146107"/>
                  <c:y val="-0.5080183727034121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43405752405949255"/>
                  <c:y val="-0.40365121026538348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Sheet1!$C$5:$C$16</c:f>
              <c:numCache>
                <c:formatCode>_ [$₹-4009]\ * #,##0_ ;_ [$₹-4009]\ * \-#,##0_ ;_ [$₹-4009]\ * "-"??_ ;_ @_ </c:formatCode>
                <c:ptCount val="12"/>
                <c:pt idx="0">
                  <c:v>450</c:v>
                </c:pt>
                <c:pt idx="1">
                  <c:v>300</c:v>
                </c:pt>
                <c:pt idx="2">
                  <c:v>440</c:v>
                </c:pt>
                <c:pt idx="3">
                  <c:v>360</c:v>
                </c:pt>
                <c:pt idx="4">
                  <c:v>290</c:v>
                </c:pt>
                <c:pt idx="5">
                  <c:v>450</c:v>
                </c:pt>
                <c:pt idx="6">
                  <c:v>340</c:v>
                </c:pt>
                <c:pt idx="7">
                  <c:v>370</c:v>
                </c:pt>
                <c:pt idx="8">
                  <c:v>500</c:v>
                </c:pt>
                <c:pt idx="9">
                  <c:v>490</c:v>
                </c:pt>
                <c:pt idx="10">
                  <c:v>430</c:v>
                </c:pt>
                <c:pt idx="11">
                  <c:v>390</c:v>
                </c:pt>
              </c:numCache>
            </c:numRef>
          </c:xVal>
          <c:yVal>
            <c:numRef>
              <c:f>Sheet1!$D$5:$D$16</c:f>
              <c:numCache>
                <c:formatCode>General</c:formatCode>
                <c:ptCount val="12"/>
                <c:pt idx="0">
                  <c:v>45</c:v>
                </c:pt>
                <c:pt idx="1">
                  <c:v>103</c:v>
                </c:pt>
                <c:pt idx="2">
                  <c:v>49</c:v>
                </c:pt>
                <c:pt idx="3">
                  <c:v>86</c:v>
                </c:pt>
                <c:pt idx="4">
                  <c:v>125</c:v>
                </c:pt>
                <c:pt idx="5">
                  <c:v>52</c:v>
                </c:pt>
                <c:pt idx="6">
                  <c:v>87</c:v>
                </c:pt>
                <c:pt idx="7">
                  <c:v>68</c:v>
                </c:pt>
                <c:pt idx="8">
                  <c:v>45</c:v>
                </c:pt>
                <c:pt idx="9">
                  <c:v>44</c:v>
                </c:pt>
                <c:pt idx="10">
                  <c:v>58</c:v>
                </c:pt>
                <c:pt idx="11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38-4D10-A26B-466E20C5B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568767"/>
        <c:axId val="917553407"/>
      </c:scatterChart>
      <c:valAx>
        <c:axId val="91756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Price ($)</a:t>
                </a:r>
              </a:p>
            </c:rich>
          </c:tx>
          <c:layout>
            <c:manualLayout>
              <c:xMode val="edge"/>
              <c:yMode val="edge"/>
              <c:x val="0.46972090988626414"/>
              <c:y val="0.915717410323709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_ ;_ [$₹-4009]\ * \-#,##0_ ;_ [$₹-4009]\ * &quot;-&quot;??_ ;_ @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553407"/>
        <c:crosses val="autoZero"/>
        <c:crossBetween val="midCat"/>
      </c:valAx>
      <c:valAx>
        <c:axId val="91755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Demand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568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20731</xdr:colOff>
      <xdr:row>0</xdr:row>
      <xdr:rowOff>166407</xdr:rowOff>
    </xdr:from>
    <xdr:to>
      <xdr:col>11</xdr:col>
      <xdr:colOff>820023</xdr:colOff>
      <xdr:row>10</xdr:row>
      <xdr:rowOff>14249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02E1B6-51F6-95C7-8387-465BCF654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6702" y="166407"/>
          <a:ext cx="6222939" cy="1730430"/>
        </a:xfrm>
        <a:prstGeom prst="rect">
          <a:avLst/>
        </a:prstGeom>
      </xdr:spPr>
    </xdr:pic>
    <xdr:clientData/>
  </xdr:twoCellAnchor>
  <xdr:twoCellAnchor>
    <xdr:from>
      <xdr:col>6</xdr:col>
      <xdr:colOff>257735</xdr:colOff>
      <xdr:row>10</xdr:row>
      <xdr:rowOff>22411</xdr:rowOff>
    </xdr:from>
    <xdr:to>
      <xdr:col>11</xdr:col>
      <xdr:colOff>369795</xdr:colOff>
      <xdr:row>21</xdr:row>
      <xdr:rowOff>160524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441B9B-83DF-2C02-9E04-EE98C950CD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BC0052-E8F4-4998-A553-B6DC5EF141EC}" name="Table1" displayName="Table1" ref="B4:D16" totalsRowShown="0" headerRowDxfId="97" dataDxfId="96">
  <autoFilter ref="B4:D16" xr:uid="{21BC0052-E8F4-4998-A553-B6DC5EF141EC}"/>
  <tableColumns count="3">
    <tableColumn id="1" xr3:uid="{36EF8D3F-7EEC-4B42-B904-5BE9039F73C9}" name="Month" dataDxfId="95"/>
    <tableColumn id="2" xr3:uid="{BA282F4F-609F-4D08-B8E8-11250DBD500A}" name="Price" dataDxfId="94"/>
    <tableColumn id="3" xr3:uid="{64130098-3804-49B1-8DC3-EFFCE348B3C5}" name="Demand (00s)" dataDxfId="9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9A3A67A-ECE4-4271-B38F-741131F68517}" name="Table7" displayName="Table7" ref="A24:H36" totalsRowShown="0" headerRowDxfId="92" dataDxfId="91" dataCellStyle="Percent">
  <tableColumns count="8">
    <tableColumn id="1" xr3:uid="{6736D7C5-62EA-4549-B6DB-47C564E4A1BA}" name="Price" dataDxfId="90"/>
    <tableColumn id="2" xr3:uid="{59C95B70-7677-4EFF-8000-9B4D8787A411}" name="Linear" dataDxfId="89">
      <calculatedColumnFormula>$B$21*A25+$B$20</calculatedColumnFormula>
    </tableColumn>
    <tableColumn id="3" xr3:uid="{97AA76D7-4404-4949-A797-A2F991F33C79}" name="Power" dataDxfId="88">
      <calculatedColumnFormula>$D$20*A25^($D$21)</calculatedColumnFormula>
    </tableColumn>
    <tableColumn id="4" xr3:uid="{3555C4F6-82AA-433D-9FDA-99BF6294F40D}" name="Exponent" dataDxfId="87">
      <calculatedColumnFormula>$F$20*EXP(A25*$F$21)</calculatedColumnFormula>
    </tableColumn>
    <tableColumn id="5" xr3:uid="{BE898256-F8C3-4E05-A6DE-9F14C8E3C584}" name="Demand (00s)"/>
    <tableColumn id="6" xr3:uid="{455FFE05-6908-4300-8ECC-33D1B8D3EA94}" name="Linear %" dataDxfId="86" dataCellStyle="Percent">
      <calculatedColumnFormula>ABS(E25-B25)/E25</calculatedColumnFormula>
    </tableColumn>
    <tableColumn id="7" xr3:uid="{FF71E40E-5984-46B2-BF29-F8EB737F8E31}" name="Power %" dataDxfId="85" dataCellStyle="Percent">
      <calculatedColumnFormula>ABS(E25-C25)/E25</calculatedColumnFormula>
    </tableColumn>
    <tableColumn id="8" xr3:uid="{10B74A52-1883-4E06-84FF-747529DF0319}" name="Exponent %" dataDxfId="84" dataCellStyle="Percent">
      <calculatedColumnFormula>ABS(E25-D25)/E25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9DDC-4799-4DE0-BEA5-C75706DE6916}">
  <dimension ref="A2:W152"/>
  <sheetViews>
    <sheetView tabSelected="1" topLeftCell="G16" zoomScale="85" zoomScaleNormal="85" workbookViewId="0">
      <selection activeCell="U9" sqref="U9"/>
    </sheetView>
  </sheetViews>
  <sheetFormatPr defaultRowHeight="15"/>
  <cols>
    <col min="1" max="1" width="15.140625" bestFit="1" customWidth="1"/>
    <col min="2" max="2" width="14.140625" bestFit="1" customWidth="1"/>
    <col min="3" max="3" width="11.85546875" style="5" customWidth="1"/>
    <col min="4" max="4" width="11.140625" customWidth="1"/>
    <col min="5" max="5" width="15.42578125" customWidth="1"/>
    <col min="6" max="6" width="9.5703125" customWidth="1"/>
    <col min="7" max="7" width="14.28515625" bestFit="1" customWidth="1"/>
    <col min="8" max="8" width="14.140625" bestFit="1" customWidth="1"/>
    <col min="9" max="9" width="13.85546875" bestFit="1" customWidth="1"/>
    <col min="10" max="14" width="14.85546875" bestFit="1" customWidth="1"/>
    <col min="15" max="15" width="11.42578125" bestFit="1" customWidth="1"/>
    <col min="16" max="16" width="9.7109375" bestFit="1" customWidth="1"/>
    <col min="17" max="17" width="9.42578125" bestFit="1" customWidth="1"/>
    <col min="18" max="23" width="10.42578125" bestFit="1" customWidth="1"/>
  </cols>
  <sheetData>
    <row r="2" spans="2:23">
      <c r="N2" s="26" t="s">
        <v>21</v>
      </c>
      <c r="O2" s="26"/>
      <c r="P2" s="5"/>
    </row>
    <row r="3" spans="2:23" ht="13.5" customHeight="1">
      <c r="N3" t="s">
        <v>23</v>
      </c>
      <c r="O3" s="23">
        <v>250</v>
      </c>
      <c r="P3" s="5" t="s">
        <v>31</v>
      </c>
    </row>
    <row r="4" spans="2:23">
      <c r="B4" s="2" t="s">
        <v>0</v>
      </c>
      <c r="C4" s="6" t="s">
        <v>1</v>
      </c>
      <c r="D4" s="2" t="s">
        <v>2</v>
      </c>
      <c r="N4" t="s">
        <v>24</v>
      </c>
      <c r="O4" s="18">
        <v>400</v>
      </c>
      <c r="P4" s="5" t="s">
        <v>32</v>
      </c>
    </row>
    <row r="5" spans="2:23">
      <c r="B5" s="1">
        <v>1</v>
      </c>
      <c r="C5" s="10">
        <v>450</v>
      </c>
      <c r="D5" s="1">
        <v>45</v>
      </c>
      <c r="N5" t="s">
        <v>25</v>
      </c>
      <c r="O5" s="19">
        <f>F20*EXP(F21*O4)</f>
        <v>65.711876029718795</v>
      </c>
      <c r="P5" s="5" t="s">
        <v>33</v>
      </c>
    </row>
    <row r="6" spans="2:23">
      <c r="B6" s="1">
        <v>2</v>
      </c>
      <c r="C6" s="10">
        <v>300</v>
      </c>
      <c r="D6" s="1">
        <v>103</v>
      </c>
      <c r="N6" t="s">
        <v>26</v>
      </c>
      <c r="O6" s="19">
        <f>O5*100</f>
        <v>6571.1876029718796</v>
      </c>
      <c r="P6" s="5" t="s">
        <v>34</v>
      </c>
    </row>
    <row r="7" spans="2:23">
      <c r="B7" s="1">
        <v>3</v>
      </c>
      <c r="C7" s="10">
        <v>440</v>
      </c>
      <c r="D7" s="1">
        <v>49</v>
      </c>
      <c r="P7" s="5"/>
    </row>
    <row r="8" spans="2:23">
      <c r="B8" s="1">
        <v>4</v>
      </c>
      <c r="C8" s="10">
        <v>360</v>
      </c>
      <c r="D8" s="1">
        <v>86</v>
      </c>
      <c r="N8" t="s">
        <v>27</v>
      </c>
      <c r="O8" s="9">
        <f>O6*O3</f>
        <v>1642796.9007429699</v>
      </c>
      <c r="P8" s="5"/>
    </row>
    <row r="9" spans="2:23">
      <c r="B9" s="1">
        <v>5</v>
      </c>
      <c r="C9" s="10">
        <v>290</v>
      </c>
      <c r="D9" s="1">
        <v>125</v>
      </c>
      <c r="N9" t="s">
        <v>28</v>
      </c>
      <c r="O9" s="9">
        <f>O4*O6</f>
        <v>2628475.0411887518</v>
      </c>
      <c r="P9" s="5"/>
    </row>
    <row r="10" spans="2:23">
      <c r="B10" s="1">
        <v>6</v>
      </c>
      <c r="C10" s="10">
        <v>450</v>
      </c>
      <c r="D10" s="1">
        <v>52</v>
      </c>
      <c r="N10" t="s">
        <v>29</v>
      </c>
      <c r="O10" s="9">
        <f>O9-O8</f>
        <v>985678.14044578187</v>
      </c>
      <c r="P10" s="5"/>
    </row>
    <row r="11" spans="2:23">
      <c r="B11" s="1">
        <v>7</v>
      </c>
      <c r="C11" s="10">
        <v>340</v>
      </c>
      <c r="D11" s="1">
        <v>87</v>
      </c>
    </row>
    <row r="12" spans="2:23">
      <c r="B12" s="1">
        <v>8</v>
      </c>
      <c r="C12" s="10">
        <v>370</v>
      </c>
      <c r="D12" s="1">
        <v>68</v>
      </c>
      <c r="O12" s="32" t="s">
        <v>23</v>
      </c>
      <c r="P12" s="32"/>
      <c r="Q12" s="32"/>
      <c r="R12" s="32"/>
      <c r="S12" s="32"/>
      <c r="T12" s="32"/>
      <c r="U12" s="32"/>
      <c r="V12" s="32"/>
      <c r="W12" s="32"/>
    </row>
    <row r="13" spans="2:23">
      <c r="B13" s="1">
        <v>9</v>
      </c>
      <c r="C13" s="10">
        <v>500</v>
      </c>
      <c r="D13" s="1">
        <v>45</v>
      </c>
      <c r="O13" s="20">
        <f>O10</f>
        <v>985678.14044578187</v>
      </c>
      <c r="P13" s="31">
        <v>250</v>
      </c>
      <c r="Q13" s="31">
        <v>300</v>
      </c>
      <c r="R13" s="31">
        <v>350</v>
      </c>
      <c r="S13" s="31">
        <v>400</v>
      </c>
      <c r="T13" s="31">
        <v>450</v>
      </c>
      <c r="U13" s="31">
        <v>500</v>
      </c>
      <c r="V13" s="31">
        <v>550</v>
      </c>
      <c r="W13" s="31">
        <v>600</v>
      </c>
    </row>
    <row r="14" spans="2:23">
      <c r="B14" s="1">
        <v>10</v>
      </c>
      <c r="C14" s="10">
        <v>490</v>
      </c>
      <c r="D14" s="1">
        <v>44</v>
      </c>
      <c r="O14" s="31">
        <v>260</v>
      </c>
      <c r="P14" s="19">
        <f t="dataTable" ref="P14:W136" dt2D="1" dtr="1" r1="O3" r2="O4"/>
        <v>130487.79149740981</v>
      </c>
      <c r="Q14" s="19">
        <v>-521951.16598963924</v>
      </c>
      <c r="R14" s="19">
        <v>-1174390.1234766878</v>
      </c>
      <c r="S14" s="19">
        <v>-1826829.0809637373</v>
      </c>
      <c r="T14" s="19">
        <v>-2479268.0384507859</v>
      </c>
      <c r="U14" s="19">
        <v>-3131706.9959378345</v>
      </c>
      <c r="V14" s="19">
        <v>-3784145.953424884</v>
      </c>
      <c r="W14" s="19">
        <v>-4436584.9109119326</v>
      </c>
    </row>
    <row r="15" spans="2:23">
      <c r="B15" s="1">
        <v>11</v>
      </c>
      <c r="C15" s="10">
        <v>430</v>
      </c>
      <c r="D15" s="1">
        <v>58</v>
      </c>
      <c r="N15" s="33" t="s">
        <v>29</v>
      </c>
      <c r="O15" s="31">
        <v>270</v>
      </c>
      <c r="P15" s="19">
        <v>248496.02543973317</v>
      </c>
      <c r="Q15" s="19">
        <v>-372744.03815959999</v>
      </c>
      <c r="R15" s="19">
        <v>-993984.10175893316</v>
      </c>
      <c r="S15" s="19">
        <v>-1615224.1653582663</v>
      </c>
      <c r="T15" s="19">
        <v>-2236464.2289575986</v>
      </c>
      <c r="U15" s="19">
        <v>-2857704.2925569317</v>
      </c>
      <c r="V15" s="19">
        <v>-3478944.3561562649</v>
      </c>
      <c r="W15" s="19">
        <v>-4100184.4197555981</v>
      </c>
    </row>
    <row r="16" spans="2:23">
      <c r="B16" s="1">
        <v>12</v>
      </c>
      <c r="C16" s="10">
        <v>390</v>
      </c>
      <c r="D16" s="1">
        <v>68</v>
      </c>
      <c r="N16" s="33"/>
      <c r="O16" s="31">
        <v>280</v>
      </c>
      <c r="P16" s="19">
        <v>354919.83934319066</v>
      </c>
      <c r="Q16" s="19">
        <v>-236613.22622879315</v>
      </c>
      <c r="R16" s="19">
        <v>-828146.29180077696</v>
      </c>
      <c r="S16" s="19">
        <v>-1419679.3573727608</v>
      </c>
      <c r="T16" s="19">
        <v>-2011212.422944745</v>
      </c>
      <c r="U16" s="19">
        <v>-2602745.4885167284</v>
      </c>
      <c r="V16" s="19">
        <v>-3194278.5540887127</v>
      </c>
      <c r="W16" s="19">
        <v>-3785811.619660696</v>
      </c>
    </row>
    <row r="17" spans="1:23">
      <c r="N17" s="33"/>
      <c r="O17" s="31">
        <v>290</v>
      </c>
      <c r="P17" s="19">
        <v>450597.29810428107</v>
      </c>
      <c r="Q17" s="19">
        <v>-112649.32452607015</v>
      </c>
      <c r="R17" s="19">
        <v>-675895.94715642137</v>
      </c>
      <c r="S17" s="19">
        <v>-1239142.5697867726</v>
      </c>
      <c r="T17" s="19">
        <v>-1802389.1924171238</v>
      </c>
      <c r="U17" s="19">
        <v>-2365635.815047475</v>
      </c>
      <c r="V17" s="19">
        <v>-2928882.4376778263</v>
      </c>
      <c r="W17" s="19">
        <v>-3492129.0603081775</v>
      </c>
    </row>
    <row r="18" spans="1:23">
      <c r="N18" s="33"/>
      <c r="O18" s="31">
        <v>300</v>
      </c>
      <c r="P18" s="19">
        <v>536312.80543503491</v>
      </c>
      <c r="Q18" s="19">
        <v>0</v>
      </c>
      <c r="R18" s="19">
        <v>-536312.80543503538</v>
      </c>
      <c r="S18" s="19">
        <v>-1072625.6108700708</v>
      </c>
      <c r="T18" s="19">
        <v>-1608938.4163051061</v>
      </c>
      <c r="U18" s="19">
        <v>-2145251.2217401415</v>
      </c>
      <c r="V18" s="19">
        <v>-2681564.0271751769</v>
      </c>
      <c r="W18" s="19">
        <v>-3217876.8326102113</v>
      </c>
    </row>
    <row r="19" spans="1:23">
      <c r="A19" s="29" t="s">
        <v>3</v>
      </c>
      <c r="B19" s="29"/>
      <c r="C19" s="29" t="s">
        <v>6</v>
      </c>
      <c r="D19" s="29"/>
      <c r="E19" s="29" t="s">
        <v>9</v>
      </c>
      <c r="F19" s="29"/>
      <c r="N19" s="33"/>
      <c r="O19" s="31">
        <v>310</v>
      </c>
      <c r="P19" s="19">
        <v>612800.31954108737</v>
      </c>
      <c r="Q19" s="19">
        <v>102133.38659018092</v>
      </c>
      <c r="R19" s="19">
        <v>-408533.54636072554</v>
      </c>
      <c r="S19" s="19">
        <v>-919200.47931163153</v>
      </c>
      <c r="T19" s="19">
        <v>-1429867.412262538</v>
      </c>
      <c r="U19" s="19">
        <v>-1940534.3452134444</v>
      </c>
      <c r="V19" s="19">
        <v>-2451201.2781643509</v>
      </c>
      <c r="W19" s="19">
        <v>-2961868.2111152573</v>
      </c>
    </row>
    <row r="20" spans="1:23">
      <c r="A20" s="3" t="s">
        <v>4</v>
      </c>
      <c r="B20" s="3">
        <v>211.31</v>
      </c>
      <c r="C20" s="7" t="s">
        <v>8</v>
      </c>
      <c r="D20" s="3">
        <v>5871064.2000000002</v>
      </c>
      <c r="E20" s="3" t="s">
        <v>10</v>
      </c>
      <c r="F20" s="3">
        <v>466.51010000000002</v>
      </c>
      <c r="N20" s="33"/>
      <c r="O20" s="31">
        <v>320</v>
      </c>
      <c r="P20" s="19">
        <v>680746.38396361051</v>
      </c>
      <c r="Q20" s="19">
        <v>194498.96684674593</v>
      </c>
      <c r="R20" s="19">
        <v>-291748.45027011866</v>
      </c>
      <c r="S20" s="19">
        <v>-777995.86738698324</v>
      </c>
      <c r="T20" s="19">
        <v>-1264243.2845038483</v>
      </c>
      <c r="U20" s="19">
        <v>-1750490.7016207129</v>
      </c>
      <c r="V20" s="19">
        <v>-2236738.1187375775</v>
      </c>
      <c r="W20" s="19">
        <v>-2722985.535854442</v>
      </c>
    </row>
    <row r="21" spans="1:23">
      <c r="A21" s="4" t="s">
        <v>5</v>
      </c>
      <c r="B21" s="4">
        <v>-0.35460000000000003</v>
      </c>
      <c r="C21" s="8" t="s">
        <v>7</v>
      </c>
      <c r="D21" s="4">
        <v>-1.91</v>
      </c>
      <c r="E21" s="4" t="s">
        <v>11</v>
      </c>
      <c r="F21" s="4">
        <v>-4.8999999999999998E-3</v>
      </c>
      <c r="N21" s="33"/>
      <c r="O21" s="31">
        <v>330</v>
      </c>
      <c r="P21" s="19">
        <v>740792.98390930612</v>
      </c>
      <c r="Q21" s="19">
        <v>277797.36896598991</v>
      </c>
      <c r="R21" s="19">
        <v>-185198.24597732676</v>
      </c>
      <c r="S21" s="19">
        <v>-648193.86092064297</v>
      </c>
      <c r="T21" s="19">
        <v>-1111189.4758639592</v>
      </c>
      <c r="U21" s="19">
        <v>-1574185.0908072758</v>
      </c>
      <c r="V21" s="19">
        <v>-2037180.7057505921</v>
      </c>
      <c r="W21" s="19">
        <v>-2500176.3206939083</v>
      </c>
    </row>
    <row r="22" spans="1:23">
      <c r="N22" s="33"/>
      <c r="O22" s="31">
        <v>340</v>
      </c>
      <c r="P22" s="19">
        <v>793540.23782792548</v>
      </c>
      <c r="Q22" s="19">
        <v>352684.55014574481</v>
      </c>
      <c r="R22" s="19">
        <v>-88171.137536436319</v>
      </c>
      <c r="S22" s="19">
        <v>-529026.82521861698</v>
      </c>
      <c r="T22" s="19">
        <v>-969882.51290079812</v>
      </c>
      <c r="U22" s="19">
        <v>-1410738.2005829792</v>
      </c>
      <c r="V22" s="19">
        <v>-1851593.8882651599</v>
      </c>
      <c r="W22" s="19">
        <v>-2292449.5759473406</v>
      </c>
    </row>
    <row r="23" spans="1:23">
      <c r="A23" s="26" t="s">
        <v>12</v>
      </c>
      <c r="B23" s="26"/>
      <c r="C23" s="26"/>
      <c r="D23" s="11"/>
      <c r="E23" s="11"/>
      <c r="F23" s="30" t="s">
        <v>16</v>
      </c>
      <c r="G23" s="30"/>
      <c r="H23" s="30"/>
      <c r="N23" s="33"/>
      <c r="O23" s="31">
        <v>350</v>
      </c>
      <c r="P23" s="19">
        <v>839548.93346246006</v>
      </c>
      <c r="Q23" s="19">
        <v>419774.46673123026</v>
      </c>
      <c r="R23" s="19">
        <v>0</v>
      </c>
      <c r="S23" s="19">
        <v>-419774.46673123026</v>
      </c>
      <c r="T23" s="19">
        <v>-839548.93346246053</v>
      </c>
      <c r="U23" s="19">
        <v>-1259323.4001936913</v>
      </c>
      <c r="V23" s="19">
        <v>-1679097.8669249211</v>
      </c>
      <c r="W23" s="19">
        <v>-2098872.3336561508</v>
      </c>
    </row>
    <row r="24" spans="1:23">
      <c r="A24" s="12" t="s">
        <v>1</v>
      </c>
      <c r="B24" s="12" t="s">
        <v>13</v>
      </c>
      <c r="C24" s="13" t="s">
        <v>14</v>
      </c>
      <c r="D24" s="12" t="s">
        <v>15</v>
      </c>
      <c r="E24" s="12" t="s">
        <v>2</v>
      </c>
      <c r="F24" s="12" t="s">
        <v>18</v>
      </c>
      <c r="G24" s="13" t="s">
        <v>19</v>
      </c>
      <c r="H24" s="12" t="s">
        <v>20</v>
      </c>
      <c r="N24" s="33"/>
      <c r="O24" s="31">
        <v>360</v>
      </c>
      <c r="P24" s="19">
        <v>879342.91709160642</v>
      </c>
      <c r="Q24" s="19">
        <v>479641.59114087606</v>
      </c>
      <c r="R24" s="19">
        <v>79940.265190145932</v>
      </c>
      <c r="S24" s="19">
        <v>-319761.06076058419</v>
      </c>
      <c r="T24" s="19">
        <v>-719462.38671131432</v>
      </c>
      <c r="U24" s="19">
        <v>-1119163.7126620444</v>
      </c>
      <c r="V24" s="19">
        <v>-1518865.0386127746</v>
      </c>
      <c r="W24" s="19">
        <v>-1918566.3645635052</v>
      </c>
    </row>
    <row r="25" spans="1:23">
      <c r="A25" s="9">
        <v>450</v>
      </c>
      <c r="B25" s="5">
        <f>$B$21*A25+$B$20</f>
        <v>51.739999999999981</v>
      </c>
      <c r="C25" s="5">
        <f>$D$20*A25^($D$21)</f>
        <v>50.243620668594566</v>
      </c>
      <c r="D25" s="5">
        <f>$F$20*EXP(A25*$F$21)</f>
        <v>51.432983584847932</v>
      </c>
      <c r="E25">
        <v>45</v>
      </c>
      <c r="F25" s="14">
        <f>ABS(E25-B25)/E25</f>
        <v>0.14977777777777734</v>
      </c>
      <c r="G25" s="14">
        <f>ABS(E25-C25)/E25</f>
        <v>0.11652490374654592</v>
      </c>
      <c r="H25" s="14">
        <f>ABS(E25-D25)/E25</f>
        <v>0.1429551907743985</v>
      </c>
      <c r="N25" s="33"/>
      <c r="O25" s="31">
        <v>370</v>
      </c>
      <c r="P25" s="19">
        <v>913411.34420581604</v>
      </c>
      <c r="Q25" s="19">
        <v>532823.28412005957</v>
      </c>
      <c r="R25" s="19">
        <v>152235.22403430287</v>
      </c>
      <c r="S25" s="19">
        <v>-228352.83605145384</v>
      </c>
      <c r="T25" s="19">
        <v>-608940.89613721054</v>
      </c>
      <c r="U25" s="19">
        <v>-989528.95622296724</v>
      </c>
      <c r="V25" s="19">
        <v>-1370117.0163087239</v>
      </c>
      <c r="W25" s="19">
        <v>-1750705.0763944802</v>
      </c>
    </row>
    <row r="26" spans="1:23">
      <c r="A26" s="9">
        <v>300</v>
      </c>
      <c r="B26" s="5">
        <f t="shared" ref="B26:B36" si="0">$B$21*A26+$B$20</f>
        <v>104.92999999999999</v>
      </c>
      <c r="C26" s="5">
        <f t="shared" ref="C26:C36" si="1">$D$20*A26^($D$21)</f>
        <v>108.99717271496756</v>
      </c>
      <c r="D26" s="5">
        <f t="shared" ref="D26:D36" si="2">$F$20*EXP(A26*$F$21)</f>
        <v>107.26256108700706</v>
      </c>
      <c r="E26">
        <v>103</v>
      </c>
      <c r="F26" s="14">
        <f t="shared" ref="F26:F36" si="3">ABS(E26-B26)/E26</f>
        <v>1.8737864077669832E-2</v>
      </c>
      <c r="G26" s="14">
        <f t="shared" ref="G26:G36" si="4">ABS(E26-C26)/E26</f>
        <v>5.8224977815219042E-2</v>
      </c>
      <c r="H26" s="14">
        <f t="shared" ref="H26:H36" si="5">ABS(E26-D26)/E26</f>
        <v>4.1384088223369489E-2</v>
      </c>
      <c r="J26" s="24" t="s">
        <v>35</v>
      </c>
      <c r="N26" s="33"/>
      <c r="O26" s="31">
        <v>380</v>
      </c>
      <c r="P26" s="19">
        <v>942210.79940576712</v>
      </c>
      <c r="Q26" s="19">
        <v>579822.03040354885</v>
      </c>
      <c r="R26" s="19">
        <v>217433.26140133059</v>
      </c>
      <c r="S26" s="19">
        <v>-144955.50760088721</v>
      </c>
      <c r="T26" s="19">
        <v>-507344.27660310548</v>
      </c>
      <c r="U26" s="19">
        <v>-869733.04560532374</v>
      </c>
      <c r="V26" s="19">
        <v>-1232121.814607542</v>
      </c>
      <c r="W26" s="19">
        <v>-1594510.5836097603</v>
      </c>
    </row>
    <row r="27" spans="1:23">
      <c r="A27" s="9">
        <v>440</v>
      </c>
      <c r="B27" s="5">
        <f t="shared" si="0"/>
        <v>55.286000000000001</v>
      </c>
      <c r="C27" s="5">
        <f t="shared" si="1"/>
        <v>52.447189114420425</v>
      </c>
      <c r="D27" s="5">
        <f t="shared" si="2"/>
        <v>54.015966060085105</v>
      </c>
      <c r="E27">
        <v>49</v>
      </c>
      <c r="F27" s="14">
        <f t="shared" si="3"/>
        <v>0.12828571428571431</v>
      </c>
      <c r="G27" s="14">
        <f t="shared" si="4"/>
        <v>7.0350798253478064E-2</v>
      </c>
      <c r="H27" s="14">
        <f t="shared" si="5"/>
        <v>0.10236665428745113</v>
      </c>
      <c r="J27" s="25" t="s">
        <v>36</v>
      </c>
      <c r="K27" s="25"/>
      <c r="L27" s="25"/>
      <c r="N27" s="33"/>
      <c r="O27" s="31">
        <v>390</v>
      </c>
      <c r="P27" s="19">
        <v>966167.29288403154</v>
      </c>
      <c r="Q27" s="19">
        <v>621107.5454254488</v>
      </c>
      <c r="R27" s="19">
        <v>276047.79796686629</v>
      </c>
      <c r="S27" s="19">
        <v>-69011.949491716456</v>
      </c>
      <c r="T27" s="19">
        <v>-414071.6969502992</v>
      </c>
      <c r="U27" s="19">
        <v>-759131.44440888148</v>
      </c>
      <c r="V27" s="19">
        <v>-1104191.1918674642</v>
      </c>
      <c r="W27" s="19">
        <v>-1449250.939326047</v>
      </c>
    </row>
    <row r="28" spans="1:23">
      <c r="A28" s="9">
        <v>360</v>
      </c>
      <c r="B28" s="5">
        <f t="shared" si="0"/>
        <v>83.653999999999996</v>
      </c>
      <c r="C28" s="5">
        <f t="shared" si="1"/>
        <v>76.944760632608521</v>
      </c>
      <c r="D28" s="5">
        <f t="shared" si="2"/>
        <v>79.940265190146036</v>
      </c>
      <c r="E28">
        <v>86</v>
      </c>
      <c r="F28" s="14">
        <f t="shared" si="3"/>
        <v>2.7279069767441901E-2</v>
      </c>
      <c r="G28" s="14">
        <f t="shared" si="4"/>
        <v>0.10529348101618</v>
      </c>
      <c r="H28" s="14">
        <f t="shared" si="5"/>
        <v>7.0462032672720512E-2</v>
      </c>
      <c r="J28" s="25" t="s">
        <v>37</v>
      </c>
      <c r="K28" s="25"/>
      <c r="L28" s="25"/>
      <c r="N28" s="33"/>
      <c r="O28" s="31">
        <v>400</v>
      </c>
      <c r="P28" s="19">
        <v>985678.14044578187</v>
      </c>
      <c r="Q28" s="19">
        <v>657118.76029718784</v>
      </c>
      <c r="R28" s="19">
        <v>328559.3801485938</v>
      </c>
      <c r="S28" s="19">
        <v>0</v>
      </c>
      <c r="T28" s="19">
        <v>-328559.3801485938</v>
      </c>
      <c r="U28" s="19">
        <v>-657118.76029718807</v>
      </c>
      <c r="V28" s="19">
        <v>-985678.14044578187</v>
      </c>
      <c r="W28" s="19">
        <v>-1314237.5205943761</v>
      </c>
    </row>
    <row r="29" spans="1:23">
      <c r="A29" s="9">
        <v>290</v>
      </c>
      <c r="B29" s="5">
        <f t="shared" si="0"/>
        <v>108.476</v>
      </c>
      <c r="C29" s="5">
        <f t="shared" si="1"/>
        <v>116.2884691561362</v>
      </c>
      <c r="D29" s="5">
        <f t="shared" si="2"/>
        <v>112.64932452607025</v>
      </c>
      <c r="E29">
        <v>125</v>
      </c>
      <c r="F29" s="14">
        <f t="shared" si="3"/>
        <v>0.132192</v>
      </c>
      <c r="G29" s="14">
        <f t="shared" si="4"/>
        <v>6.9692246750910389E-2</v>
      </c>
      <c r="H29" s="14">
        <f t="shared" si="5"/>
        <v>9.880540379143804E-2</v>
      </c>
      <c r="J29" s="25" t="s">
        <v>38</v>
      </c>
      <c r="K29" s="25"/>
      <c r="L29" s="25"/>
      <c r="N29" s="33"/>
      <c r="O29" s="31">
        <v>410</v>
      </c>
      <c r="P29" s="19">
        <v>1001113.7336413721</v>
      </c>
      <c r="Q29" s="19">
        <v>688265.69187844312</v>
      </c>
      <c r="R29" s="19">
        <v>375417.65011551417</v>
      </c>
      <c r="S29" s="19">
        <v>62569.608352585696</v>
      </c>
      <c r="T29" s="19">
        <v>-250278.43341034325</v>
      </c>
      <c r="U29" s="19">
        <v>-563126.47517327173</v>
      </c>
      <c r="V29" s="19">
        <v>-875974.51693620067</v>
      </c>
      <c r="W29" s="19">
        <v>-1188822.5586991296</v>
      </c>
    </row>
    <row r="30" spans="1:23">
      <c r="A30" s="9">
        <v>450</v>
      </c>
      <c r="B30" s="5">
        <f t="shared" si="0"/>
        <v>51.739999999999981</v>
      </c>
      <c r="C30" s="5">
        <f t="shared" si="1"/>
        <v>50.243620668594566</v>
      </c>
      <c r="D30" s="5">
        <f t="shared" si="2"/>
        <v>51.432983584847932</v>
      </c>
      <c r="E30">
        <v>52</v>
      </c>
      <c r="F30" s="14">
        <f t="shared" si="3"/>
        <v>5.0000000000003713E-3</v>
      </c>
      <c r="G30" s="14">
        <f t="shared" si="4"/>
        <v>3.3776525603950648E-2</v>
      </c>
      <c r="H30" s="14">
        <f t="shared" si="5"/>
        <v>1.0904161829847462E-2</v>
      </c>
      <c r="N30" s="33"/>
      <c r="O30" s="31">
        <v>420</v>
      </c>
      <c r="P30" s="19">
        <v>1012819.2062212878</v>
      </c>
      <c r="Q30" s="19">
        <v>714931.20439149719</v>
      </c>
      <c r="R30" s="19">
        <v>417043.20256170654</v>
      </c>
      <c r="S30" s="19">
        <v>119155.20073191589</v>
      </c>
      <c r="T30" s="19">
        <v>-178732.80109787453</v>
      </c>
      <c r="U30" s="19">
        <v>-476620.80292766495</v>
      </c>
      <c r="V30" s="19">
        <v>-774508.80475745583</v>
      </c>
      <c r="W30" s="19">
        <v>-1072396.8065872462</v>
      </c>
    </row>
    <row r="31" spans="1:23">
      <c r="A31" s="9">
        <v>340</v>
      </c>
      <c r="B31" s="5">
        <f t="shared" si="0"/>
        <v>90.745999999999995</v>
      </c>
      <c r="C31" s="5">
        <f t="shared" si="1"/>
        <v>85.820708952715208</v>
      </c>
      <c r="D31" s="5">
        <f t="shared" si="2"/>
        <v>88.171137536436177</v>
      </c>
      <c r="E31">
        <v>87</v>
      </c>
      <c r="F31" s="14">
        <f t="shared" si="3"/>
        <v>4.3057471264367757E-2</v>
      </c>
      <c r="G31" s="14">
        <f t="shared" si="4"/>
        <v>1.3555069509020599E-2</v>
      </c>
      <c r="H31" s="14">
        <f t="shared" si="5"/>
        <v>1.3461350993519278E-2</v>
      </c>
      <c r="N31" s="33"/>
      <c r="O31" s="31">
        <v>430</v>
      </c>
      <c r="P31" s="19">
        <v>1021116.0027813129</v>
      </c>
      <c r="Q31" s="19">
        <v>737472.66867539263</v>
      </c>
      <c r="R31" s="19">
        <v>453829.33456947235</v>
      </c>
      <c r="S31" s="19">
        <v>170186.00046355231</v>
      </c>
      <c r="T31" s="19">
        <v>-113457.3336423682</v>
      </c>
      <c r="U31" s="19">
        <v>-397100.66774828872</v>
      </c>
      <c r="V31" s="19">
        <v>-680744.00185420876</v>
      </c>
      <c r="W31" s="19">
        <v>-964387.33596012928</v>
      </c>
    </row>
    <row r="32" spans="1:23">
      <c r="A32" s="9">
        <v>370</v>
      </c>
      <c r="B32" s="5">
        <f t="shared" si="0"/>
        <v>80.108000000000004</v>
      </c>
      <c r="C32" s="5">
        <f t="shared" si="1"/>
        <v>73.021632241217873</v>
      </c>
      <c r="D32" s="5">
        <f t="shared" si="2"/>
        <v>76.11761201715133</v>
      </c>
      <c r="E32">
        <v>68</v>
      </c>
      <c r="F32" s="14">
        <f t="shared" si="3"/>
        <v>0.17805882352941182</v>
      </c>
      <c r="G32" s="14">
        <f t="shared" si="4"/>
        <v>7.3847532959086359E-2</v>
      </c>
      <c r="H32" s="14">
        <f t="shared" si="5"/>
        <v>0.11937664731104898</v>
      </c>
      <c r="N32" s="33"/>
      <c r="O32" s="31">
        <v>440</v>
      </c>
      <c r="P32" s="19">
        <v>1026303.3551416171</v>
      </c>
      <c r="Q32" s="19">
        <v>756223.52484119148</v>
      </c>
      <c r="R32" s="19">
        <v>486143.69454076607</v>
      </c>
      <c r="S32" s="19">
        <v>216063.86424034042</v>
      </c>
      <c r="T32" s="19">
        <v>-54015.966060084756</v>
      </c>
      <c r="U32" s="19">
        <v>-324095.7963605104</v>
      </c>
      <c r="V32" s="19">
        <v>-594175.62666093605</v>
      </c>
      <c r="W32" s="19">
        <v>-864255.45696136169</v>
      </c>
    </row>
    <row r="33" spans="1:23">
      <c r="A33" s="9">
        <v>500</v>
      </c>
      <c r="B33" s="5">
        <f t="shared" si="0"/>
        <v>34.009999999999991</v>
      </c>
      <c r="C33" s="5">
        <f t="shared" si="1"/>
        <v>41.085078502078176</v>
      </c>
      <c r="D33" s="5">
        <f t="shared" si="2"/>
        <v>40.25682966718</v>
      </c>
      <c r="E33">
        <v>45</v>
      </c>
      <c r="F33" s="14">
        <f t="shared" si="3"/>
        <v>0.24422222222222242</v>
      </c>
      <c r="G33" s="14">
        <f t="shared" si="4"/>
        <v>8.6998255509373873E-2</v>
      </c>
      <c r="H33" s="14">
        <f t="shared" si="5"/>
        <v>0.10540378517377778</v>
      </c>
      <c r="N33" s="33"/>
      <c r="O33" s="31">
        <v>450</v>
      </c>
      <c r="P33" s="19">
        <v>1028659.6716969586</v>
      </c>
      <c r="Q33" s="19">
        <v>771494.75377271883</v>
      </c>
      <c r="R33" s="19">
        <v>514329.8358484793</v>
      </c>
      <c r="S33" s="19">
        <v>257164.91792423953</v>
      </c>
      <c r="T33" s="19">
        <v>0</v>
      </c>
      <c r="U33" s="19">
        <v>-257164.91792423977</v>
      </c>
      <c r="V33" s="19">
        <v>-514329.83584847953</v>
      </c>
      <c r="W33" s="19">
        <v>-771494.7537727193</v>
      </c>
    </row>
    <row r="34" spans="1:23">
      <c r="A34" s="9">
        <v>490</v>
      </c>
      <c r="B34" s="5">
        <f t="shared" si="0"/>
        <v>37.555999999999983</v>
      </c>
      <c r="C34" s="5">
        <f t="shared" si="1"/>
        <v>42.701419920165797</v>
      </c>
      <c r="D34" s="5">
        <f t="shared" si="2"/>
        <v>42.278541772747353</v>
      </c>
      <c r="E34">
        <v>44</v>
      </c>
      <c r="F34" s="14">
        <f t="shared" si="3"/>
        <v>0.14645454545454584</v>
      </c>
      <c r="G34" s="14">
        <f t="shared" si="4"/>
        <v>2.9513183632595516E-2</v>
      </c>
      <c r="H34" s="14">
        <f t="shared" si="5"/>
        <v>3.9124050619378341E-2</v>
      </c>
      <c r="O34" s="31">
        <v>460</v>
      </c>
      <c r="P34" s="19">
        <v>1028443.8446852881</v>
      </c>
      <c r="Q34" s="19">
        <v>783576.26261736243</v>
      </c>
      <c r="R34" s="19">
        <v>538708.68054943671</v>
      </c>
      <c r="S34" s="19">
        <v>293841.09848151077</v>
      </c>
      <c r="T34" s="19">
        <v>48973.516413584817</v>
      </c>
      <c r="U34" s="19">
        <v>-195894.06565434113</v>
      </c>
      <c r="V34" s="19">
        <v>-440761.64772226661</v>
      </c>
      <c r="W34" s="19">
        <v>-685629.22979019256</v>
      </c>
    </row>
    <row r="35" spans="1:23">
      <c r="A35" s="9">
        <v>430</v>
      </c>
      <c r="B35" s="5">
        <f t="shared" si="0"/>
        <v>58.831999999999994</v>
      </c>
      <c r="C35" s="5">
        <f t="shared" si="1"/>
        <v>54.80145372869233</v>
      </c>
      <c r="D35" s="5">
        <f t="shared" si="2"/>
        <v>56.728666821184056</v>
      </c>
      <c r="E35">
        <v>58</v>
      </c>
      <c r="F35" s="14">
        <f t="shared" si="3"/>
        <v>1.4344827586206787E-2</v>
      </c>
      <c r="G35" s="14">
        <f t="shared" si="4"/>
        <v>5.5147349505304658E-2</v>
      </c>
      <c r="H35" s="14">
        <f t="shared" si="5"/>
        <v>2.1919537565792131E-2</v>
      </c>
      <c r="O35" s="31">
        <v>470</v>
      </c>
      <c r="P35" s="19">
        <v>1025896.4800479074</v>
      </c>
      <c r="Q35" s="19">
        <v>792738.18912792834</v>
      </c>
      <c r="R35" s="19">
        <v>559579.89820794947</v>
      </c>
      <c r="S35" s="19">
        <v>326421.60728797037</v>
      </c>
      <c r="T35" s="19">
        <v>93263.316367991269</v>
      </c>
      <c r="U35" s="19">
        <v>-139894.97455198737</v>
      </c>
      <c r="V35" s="19">
        <v>-373053.26547196647</v>
      </c>
      <c r="W35" s="19">
        <v>-606211.55639194557</v>
      </c>
    </row>
    <row r="36" spans="1:23">
      <c r="A36" s="9">
        <v>390</v>
      </c>
      <c r="B36" s="5">
        <f t="shared" si="0"/>
        <v>73.015999999999991</v>
      </c>
      <c r="C36" s="5">
        <f t="shared" si="1"/>
        <v>66.036406155628342</v>
      </c>
      <c r="D36" s="5">
        <f t="shared" si="2"/>
        <v>69.011949491716521</v>
      </c>
      <c r="E36">
        <v>68</v>
      </c>
      <c r="F36" s="14">
        <f t="shared" si="3"/>
        <v>7.3764705882352816E-2</v>
      </c>
      <c r="G36" s="14">
        <f t="shared" si="4"/>
        <v>2.8876380064289092E-2</v>
      </c>
      <c r="H36" s="14">
        <f t="shared" si="5"/>
        <v>1.4881610172301784E-2</v>
      </c>
      <c r="O36" s="31">
        <v>480</v>
      </c>
      <c r="P36" s="19">
        <v>1021241.0542950877</v>
      </c>
      <c r="Q36" s="19">
        <v>799232.12944832933</v>
      </c>
      <c r="R36" s="19">
        <v>577223.2046015712</v>
      </c>
      <c r="S36" s="19">
        <v>355214.27975481283</v>
      </c>
      <c r="T36" s="19">
        <v>133205.35490805469</v>
      </c>
      <c r="U36" s="19">
        <v>-88803.56993870344</v>
      </c>
      <c r="V36" s="19">
        <v>-310812.49478546157</v>
      </c>
      <c r="W36" s="19">
        <v>-532821.41963222018</v>
      </c>
    </row>
    <row r="37" spans="1:23">
      <c r="E37" s="15" t="s">
        <v>17</v>
      </c>
      <c r="F37" s="16">
        <f>AVERAGE(F25:F36)</f>
        <v>9.6764585153975916E-2</v>
      </c>
      <c r="G37" s="17">
        <f t="shared" ref="G37:H37" si="6">AVERAGE(G25:G36)</f>
        <v>6.1816725363829511E-2</v>
      </c>
      <c r="H37" s="16">
        <f t="shared" si="6"/>
        <v>6.5087042784586949E-2</v>
      </c>
      <c r="I37" t="s">
        <v>30</v>
      </c>
      <c r="O37" s="31">
        <v>490</v>
      </c>
      <c r="P37" s="19">
        <v>1014685.0025459365</v>
      </c>
      <c r="Q37" s="19">
        <v>803292.29368219967</v>
      </c>
      <c r="R37" s="19">
        <v>591899.58481846307</v>
      </c>
      <c r="S37" s="19">
        <v>380506.87595472625</v>
      </c>
      <c r="T37" s="19">
        <v>169114.16709098942</v>
      </c>
      <c r="U37" s="19">
        <v>-42278.541772747179</v>
      </c>
      <c r="V37" s="19">
        <v>-253671.25063648378</v>
      </c>
      <c r="W37" s="19">
        <v>-465063.95950022084</v>
      </c>
    </row>
    <row r="38" spans="1:23">
      <c r="O38" s="31">
        <v>500</v>
      </c>
      <c r="P38" s="19">
        <v>1006420.7416795</v>
      </c>
      <c r="Q38" s="19">
        <v>805136.59334359993</v>
      </c>
      <c r="R38" s="19">
        <v>603852.44500770001</v>
      </c>
      <c r="S38" s="19">
        <v>402568.29667179985</v>
      </c>
      <c r="T38" s="19">
        <v>201284.14833589992</v>
      </c>
      <c r="U38" s="19">
        <v>0</v>
      </c>
      <c r="V38" s="19">
        <v>-201284.14833589992</v>
      </c>
      <c r="W38" s="19">
        <v>-402568.29667180008</v>
      </c>
    </row>
    <row r="39" spans="1:23">
      <c r="A39" s="26" t="s">
        <v>21</v>
      </c>
      <c r="B39" s="26"/>
      <c r="O39" s="31">
        <v>510</v>
      </c>
      <c r="P39" s="19">
        <v>996626.63231496897</v>
      </c>
      <c r="Q39" s="19">
        <v>804967.6645620903</v>
      </c>
      <c r="R39" s="19">
        <v>613308.69680921175</v>
      </c>
      <c r="S39" s="19">
        <v>421649.72905633296</v>
      </c>
      <c r="T39" s="19">
        <v>229990.7613034544</v>
      </c>
      <c r="U39" s="19">
        <v>38331.793550575851</v>
      </c>
      <c r="V39" s="19">
        <v>-153327.17420230294</v>
      </c>
      <c r="W39" s="19">
        <v>-344986.14195518149</v>
      </c>
    </row>
    <row r="40" spans="1:23">
      <c r="A40" t="s">
        <v>23</v>
      </c>
      <c r="B40" s="23">
        <v>250</v>
      </c>
      <c r="C40" s="5" t="s">
        <v>31</v>
      </c>
      <c r="G40" s="27" t="s">
        <v>22</v>
      </c>
      <c r="H40" s="27"/>
      <c r="I40" s="27"/>
      <c r="J40" s="27"/>
      <c r="K40" s="27"/>
      <c r="L40" s="27"/>
      <c r="M40" s="27"/>
      <c r="N40" s="27"/>
      <c r="O40" s="31">
        <v>520</v>
      </c>
      <c r="P40" s="19">
        <v>985467.88313164026</v>
      </c>
      <c r="Q40" s="19">
        <v>802973.830699855</v>
      </c>
      <c r="R40" s="19">
        <v>620479.77826806973</v>
      </c>
      <c r="S40" s="19">
        <v>437985.72583628446</v>
      </c>
      <c r="T40" s="19">
        <v>255491.67340449919</v>
      </c>
      <c r="U40" s="19">
        <v>72997.620972713921</v>
      </c>
      <c r="V40" s="19">
        <v>-109496.43145907111</v>
      </c>
      <c r="W40" s="19">
        <v>-291990.48389085662</v>
      </c>
    </row>
    <row r="41" spans="1:23">
      <c r="A41" t="s">
        <v>24</v>
      </c>
      <c r="B41" s="18">
        <v>400</v>
      </c>
      <c r="C41" s="5" t="s">
        <v>32</v>
      </c>
      <c r="F41" s="28" t="s">
        <v>29</v>
      </c>
      <c r="G41" s="20">
        <f>B46-B45</f>
        <v>943785.94402045198</v>
      </c>
      <c r="H41" s="21">
        <v>250</v>
      </c>
      <c r="I41" s="21">
        <v>300</v>
      </c>
      <c r="J41" s="21">
        <v>350</v>
      </c>
      <c r="K41" s="21">
        <v>400</v>
      </c>
      <c r="L41" s="21">
        <v>450</v>
      </c>
      <c r="M41" s="21">
        <v>500</v>
      </c>
      <c r="N41" s="21">
        <v>550</v>
      </c>
      <c r="O41" s="31">
        <v>530</v>
      </c>
      <c r="P41" s="19">
        <v>973097.40084343078</v>
      </c>
      <c r="Q41" s="19">
        <v>799330.00783567526</v>
      </c>
      <c r="R41" s="19">
        <v>625562.61482791975</v>
      </c>
      <c r="S41" s="19">
        <v>451795.22182016424</v>
      </c>
      <c r="T41" s="19">
        <v>278027.82881240873</v>
      </c>
      <c r="U41" s="19">
        <v>104260.43580465321</v>
      </c>
      <c r="V41" s="19">
        <v>-69506.957203102298</v>
      </c>
      <c r="W41" s="19">
        <v>-243274.35021085781</v>
      </c>
    </row>
    <row r="42" spans="1:23">
      <c r="A42" t="s">
        <v>25</v>
      </c>
      <c r="B42" s="19">
        <f>D20*B41^D21</f>
        <v>62.919062934696804</v>
      </c>
      <c r="C42" s="5" t="s">
        <v>33</v>
      </c>
      <c r="F42" s="28"/>
      <c r="G42" s="22">
        <v>260</v>
      </c>
      <c r="H42" s="9">
        <f t="dataTable" ref="H42:N136" dt2D="1" dtr="1" r1="B40" r2="B41"/>
        <v>143257.62099624798</v>
      </c>
      <c r="I42" s="9">
        <v>-573030.48398499144</v>
      </c>
      <c r="J42" s="9">
        <v>-1289318.5889662304</v>
      </c>
      <c r="K42" s="9">
        <v>-2005606.6939474703</v>
      </c>
      <c r="L42" s="9">
        <v>-2721894.7989287092</v>
      </c>
      <c r="M42" s="9">
        <v>-3438182.9039099491</v>
      </c>
      <c r="N42" s="9">
        <v>-4154471.0088911881</v>
      </c>
      <c r="O42" s="31">
        <v>540</v>
      </c>
      <c r="P42" s="19">
        <v>959656.58895755454</v>
      </c>
      <c r="Q42" s="19">
        <v>794198.55637866585</v>
      </c>
      <c r="R42" s="19">
        <v>628740.52379977726</v>
      </c>
      <c r="S42" s="19">
        <v>463282.49122088845</v>
      </c>
      <c r="T42" s="19">
        <v>297824.45864199987</v>
      </c>
      <c r="U42" s="19">
        <v>132366.42606311105</v>
      </c>
      <c r="V42" s="19">
        <v>-33091.60651577753</v>
      </c>
      <c r="W42" s="19">
        <v>-198549.63909466635</v>
      </c>
    </row>
    <row r="43" spans="1:23">
      <c r="A43" t="s">
        <v>26</v>
      </c>
      <c r="B43" s="19">
        <f>B42*100</f>
        <v>6291.9062934696803</v>
      </c>
      <c r="C43" s="5" t="s">
        <v>34</v>
      </c>
      <c r="F43" s="28"/>
      <c r="G43" s="21">
        <v>270</v>
      </c>
      <c r="H43" s="9">
        <v>266588.88333695661</v>
      </c>
      <c r="I43" s="9">
        <v>-399883.32500543538</v>
      </c>
      <c r="J43" s="9">
        <v>-1066355.5333478278</v>
      </c>
      <c r="K43" s="9">
        <v>-1732827.7416902198</v>
      </c>
      <c r="L43" s="9">
        <v>-2399299.9500326118</v>
      </c>
      <c r="M43" s="9">
        <v>-3065772.1583750048</v>
      </c>
      <c r="N43" s="9">
        <v>-3732244.3667173968</v>
      </c>
      <c r="O43" s="31">
        <v>550</v>
      </c>
      <c r="P43" s="19">
        <v>945276.09827194957</v>
      </c>
      <c r="Q43" s="19">
        <v>787730.08189329132</v>
      </c>
      <c r="R43" s="19">
        <v>630184.06551463297</v>
      </c>
      <c r="S43" s="19">
        <v>472638.04913597484</v>
      </c>
      <c r="T43" s="19">
        <v>315092.03275731648</v>
      </c>
      <c r="U43" s="19">
        <v>157546.01637865813</v>
      </c>
      <c r="V43" s="19">
        <v>0</v>
      </c>
      <c r="W43" s="19">
        <v>-157546.01637865836</v>
      </c>
    </row>
    <row r="44" spans="1:23">
      <c r="F44" s="28"/>
      <c r="G44" s="22">
        <v>280</v>
      </c>
      <c r="H44" s="9">
        <v>373049.31276367325</v>
      </c>
      <c r="I44" s="9">
        <v>-248699.54184244853</v>
      </c>
      <c r="J44" s="9">
        <v>-870448.39644857077</v>
      </c>
      <c r="K44" s="9">
        <v>-1492197.2510546925</v>
      </c>
      <c r="L44" s="9">
        <v>-2113946.1056608143</v>
      </c>
      <c r="M44" s="9">
        <v>-2735694.9602669361</v>
      </c>
      <c r="N44" s="9">
        <v>-3357443.8148730579</v>
      </c>
      <c r="O44" s="31">
        <v>560</v>
      </c>
      <c r="P44" s="19">
        <v>930076.53190056595</v>
      </c>
      <c r="Q44" s="19">
        <v>780064.18804563605</v>
      </c>
      <c r="R44" s="19">
        <v>630051.84419070603</v>
      </c>
      <c r="S44" s="19">
        <v>480039.50033577601</v>
      </c>
      <c r="T44" s="19">
        <v>330027.156480846</v>
      </c>
      <c r="U44" s="19">
        <v>180014.81262591598</v>
      </c>
      <c r="V44" s="19">
        <v>30002.46877098619</v>
      </c>
      <c r="W44" s="19">
        <v>-120009.87508394383</v>
      </c>
    </row>
    <row r="45" spans="1:23">
      <c r="A45" t="s">
        <v>27</v>
      </c>
      <c r="B45" s="9">
        <f>B43*B40</f>
        <v>1572976.5733674201</v>
      </c>
      <c r="F45" s="28"/>
      <c r="G45" s="21">
        <v>290</v>
      </c>
      <c r="H45" s="9">
        <v>465153.87662454462</v>
      </c>
      <c r="I45" s="9">
        <v>-116288.46915613627</v>
      </c>
      <c r="J45" s="9">
        <v>-697730.81493681762</v>
      </c>
      <c r="K45" s="9">
        <v>-1279173.1607174985</v>
      </c>
      <c r="L45" s="9">
        <v>-1860615.5064981794</v>
      </c>
      <c r="M45" s="9">
        <v>-2442057.8522788603</v>
      </c>
      <c r="N45" s="9">
        <v>-3023500.1980595412</v>
      </c>
      <c r="O45" s="31">
        <v>570</v>
      </c>
      <c r="P45" s="19">
        <v>914169.10745925014</v>
      </c>
      <c r="Q45" s="19">
        <v>771330.18441874231</v>
      </c>
      <c r="R45" s="19">
        <v>628491.26137823449</v>
      </c>
      <c r="S45" s="19">
        <v>485652.33833772666</v>
      </c>
      <c r="T45" s="19">
        <v>342813.41529721883</v>
      </c>
      <c r="U45" s="19">
        <v>199974.492256711</v>
      </c>
      <c r="V45" s="19">
        <v>57135.569216203177</v>
      </c>
      <c r="W45" s="19">
        <v>-85703.35382430465</v>
      </c>
    </row>
    <row r="46" spans="1:23">
      <c r="A46" t="s">
        <v>28</v>
      </c>
      <c r="B46" s="9">
        <f>B43*B41</f>
        <v>2516762.5173878721</v>
      </c>
      <c r="F46" s="28"/>
      <c r="G46" s="22">
        <v>300</v>
      </c>
      <c r="H46" s="9">
        <v>544985.8635748378</v>
      </c>
      <c r="I46" s="9">
        <v>0</v>
      </c>
      <c r="J46" s="9">
        <v>-544985.8635748378</v>
      </c>
      <c r="K46" s="9">
        <v>-1089971.7271496756</v>
      </c>
      <c r="L46" s="9">
        <v>-1634957.5907245139</v>
      </c>
      <c r="M46" s="9">
        <v>-2179943.4542993512</v>
      </c>
      <c r="N46" s="9">
        <v>-2724929.3178741895</v>
      </c>
      <c r="O46" s="31">
        <v>580</v>
      </c>
      <c r="P46" s="19">
        <v>897656.27889714797</v>
      </c>
      <c r="Q46" s="19">
        <v>761647.75179151946</v>
      </c>
      <c r="R46" s="19">
        <v>625639.22468589095</v>
      </c>
      <c r="S46" s="19">
        <v>489630.69758026255</v>
      </c>
      <c r="T46" s="19">
        <v>353622.17047463404</v>
      </c>
      <c r="U46" s="19">
        <v>217613.64336900553</v>
      </c>
      <c r="V46" s="19">
        <v>81605.116263377015</v>
      </c>
      <c r="W46" s="19">
        <v>-54403.410842251498</v>
      </c>
    </row>
    <row r="47" spans="1:23">
      <c r="A47" t="s">
        <v>29</v>
      </c>
      <c r="B47" s="9">
        <f>B46-B45</f>
        <v>943785.94402045198</v>
      </c>
      <c r="F47" s="28"/>
      <c r="G47" s="21">
        <v>310</v>
      </c>
      <c r="H47" s="9">
        <v>614281.22909970302</v>
      </c>
      <c r="I47" s="9">
        <v>102380.2048499505</v>
      </c>
      <c r="J47" s="9">
        <v>-409520.81939980201</v>
      </c>
      <c r="K47" s="9">
        <v>-921421.84364955453</v>
      </c>
      <c r="L47" s="9">
        <v>-1433322.8678993075</v>
      </c>
      <c r="M47" s="9">
        <v>-1945223.8921490605</v>
      </c>
      <c r="N47" s="9">
        <v>-2457124.9163988126</v>
      </c>
      <c r="O47" s="31">
        <v>590</v>
      </c>
      <c r="P47" s="19">
        <v>880632.32031885616</v>
      </c>
      <c r="Q47" s="19">
        <v>751127.56733078905</v>
      </c>
      <c r="R47" s="19">
        <v>621622.81434272195</v>
      </c>
      <c r="S47" s="19">
        <v>492118.06135465484</v>
      </c>
      <c r="T47" s="19">
        <v>362613.30836658785</v>
      </c>
      <c r="U47" s="19">
        <v>233108.55537852086</v>
      </c>
      <c r="V47" s="19">
        <v>103603.80239045364</v>
      </c>
      <c r="W47" s="19">
        <v>-25900.950597613351</v>
      </c>
    </row>
    <row r="48" spans="1:23">
      <c r="F48" s="28"/>
      <c r="G48" s="22">
        <v>320</v>
      </c>
      <c r="H48" s="9">
        <v>674494.49713624408</v>
      </c>
      <c r="I48" s="9">
        <v>192712.71346749831</v>
      </c>
      <c r="J48" s="9">
        <v>-289069.070201247</v>
      </c>
      <c r="K48" s="9">
        <v>-770850.85386999277</v>
      </c>
      <c r="L48" s="9">
        <v>-1252632.6375387381</v>
      </c>
      <c r="M48" s="9">
        <v>-1734414.4212074834</v>
      </c>
      <c r="N48" s="9">
        <v>-2216196.2048762296</v>
      </c>
      <c r="O48" s="31">
        <v>600</v>
      </c>
      <c r="P48" s="19">
        <v>863183.87401052471</v>
      </c>
      <c r="Q48" s="19">
        <v>739871.89200902113</v>
      </c>
      <c r="R48" s="19">
        <v>616559.91000751767</v>
      </c>
      <c r="S48" s="19">
        <v>493247.92800601409</v>
      </c>
      <c r="T48" s="19">
        <v>369935.94600451062</v>
      </c>
      <c r="U48" s="19">
        <v>246623.96400300716</v>
      </c>
      <c r="V48" s="19">
        <v>123311.98200150346</v>
      </c>
      <c r="W48" s="19">
        <v>0</v>
      </c>
    </row>
    <row r="49" spans="6:23">
      <c r="F49" s="28"/>
      <c r="G49" s="21">
        <v>330</v>
      </c>
      <c r="H49" s="9">
        <v>726850.66352653969</v>
      </c>
      <c r="I49" s="9">
        <v>272568.99882245203</v>
      </c>
      <c r="J49" s="9">
        <v>-181712.66588163516</v>
      </c>
      <c r="K49" s="9">
        <v>-635994.33058572235</v>
      </c>
      <c r="L49" s="9">
        <v>-1090275.9952898095</v>
      </c>
      <c r="M49" s="9">
        <v>-1544557.6599938963</v>
      </c>
      <c r="N49" s="9">
        <v>-1998839.3246979844</v>
      </c>
      <c r="O49" s="31">
        <v>610</v>
      </c>
      <c r="P49" s="19">
        <v>845390.46475838404</v>
      </c>
      <c r="Q49" s="19">
        <v>727975.12243083073</v>
      </c>
      <c r="R49" s="19">
        <v>610559.78010327742</v>
      </c>
      <c r="S49" s="19">
        <v>493144.43777572399</v>
      </c>
      <c r="T49" s="19">
        <v>375729.09544817079</v>
      </c>
      <c r="U49" s="19">
        <v>258313.75312061748</v>
      </c>
      <c r="V49" s="19">
        <v>140898.41079306416</v>
      </c>
      <c r="W49" s="19">
        <v>23483.068465510849</v>
      </c>
    </row>
    <row r="50" spans="6:23">
      <c r="F50" s="28"/>
      <c r="G50" s="22">
        <v>340</v>
      </c>
      <c r="H50" s="9">
        <v>772386.38057443686</v>
      </c>
      <c r="I50" s="9">
        <v>343282.83581086062</v>
      </c>
      <c r="J50" s="9">
        <v>-85820.708952715155</v>
      </c>
      <c r="K50" s="9">
        <v>-514924.25371629139</v>
      </c>
      <c r="L50" s="9">
        <v>-944027.79847986763</v>
      </c>
      <c r="M50" s="9">
        <v>-1373131.3432434434</v>
      </c>
      <c r="N50" s="9">
        <v>-1802234.8880070196</v>
      </c>
      <c r="O50" s="31">
        <v>620</v>
      </c>
      <c r="P50" s="19">
        <v>827324.98243025946</v>
      </c>
      <c r="Q50" s="19">
        <v>715524.30912887305</v>
      </c>
      <c r="R50" s="19">
        <v>603723.63582748675</v>
      </c>
      <c r="S50" s="19">
        <v>491922.96252610034</v>
      </c>
      <c r="T50" s="19">
        <v>380122.28922471392</v>
      </c>
      <c r="U50" s="19">
        <v>268321.61592332739</v>
      </c>
      <c r="V50" s="19">
        <v>156520.94262194098</v>
      </c>
      <c r="W50" s="19">
        <v>44720.269320554566</v>
      </c>
    </row>
    <row r="51" spans="6:23">
      <c r="F51" s="28"/>
      <c r="G51" s="21">
        <v>350</v>
      </c>
      <c r="H51" s="9">
        <v>811982.86524331244</v>
      </c>
      <c r="I51" s="9">
        <v>405991.43262165645</v>
      </c>
      <c r="J51" s="9">
        <v>0</v>
      </c>
      <c r="K51" s="9">
        <v>-405991.43262165599</v>
      </c>
      <c r="L51" s="9">
        <v>-811982.86524331244</v>
      </c>
      <c r="M51" s="9">
        <v>-1217974.2978649684</v>
      </c>
      <c r="N51" s="9">
        <v>-1623965.7304866244</v>
      </c>
      <c r="O51" s="31">
        <v>630</v>
      </c>
      <c r="P51" s="19">
        <v>809054.13467927347</v>
      </c>
      <c r="Q51" s="19">
        <v>702599.64327410585</v>
      </c>
      <c r="R51" s="19">
        <v>596145.15186893835</v>
      </c>
      <c r="S51" s="19">
        <v>489690.66046377074</v>
      </c>
      <c r="T51" s="19">
        <v>383236.16905860312</v>
      </c>
      <c r="U51" s="19">
        <v>276781.67765343562</v>
      </c>
      <c r="V51" s="19">
        <v>170327.186248268</v>
      </c>
      <c r="W51" s="19">
        <v>63872.694843100384</v>
      </c>
    </row>
    <row r="52" spans="6:23">
      <c r="F52" s="28"/>
      <c r="G52" s="22">
        <v>360</v>
      </c>
      <c r="H52" s="9">
        <v>846392.36695869383</v>
      </c>
      <c r="I52" s="9">
        <v>461668.56379565131</v>
      </c>
      <c r="J52" s="9">
        <v>76944.760632608552</v>
      </c>
      <c r="K52" s="9">
        <v>-307779.04253043421</v>
      </c>
      <c r="L52" s="9">
        <v>-692502.8456934765</v>
      </c>
      <c r="M52" s="9">
        <v>-1077226.6488565193</v>
      </c>
      <c r="N52" s="9">
        <v>-1461950.452019562</v>
      </c>
      <c r="O52" s="31">
        <v>640</v>
      </c>
      <c r="P52" s="19">
        <v>790638.87152368738</v>
      </c>
      <c r="Q52" s="19">
        <v>689274.91363603517</v>
      </c>
      <c r="R52" s="19">
        <v>587910.95574838296</v>
      </c>
      <c r="S52" s="19">
        <v>486546.99786073074</v>
      </c>
      <c r="T52" s="19">
        <v>385183.03997307853</v>
      </c>
      <c r="U52" s="19">
        <v>283819.08208542631</v>
      </c>
      <c r="V52" s="19">
        <v>182455.1241977741</v>
      </c>
      <c r="W52" s="19">
        <v>81091.166310121771</v>
      </c>
    </row>
    <row r="53" spans="6:23">
      <c r="F53" s="28"/>
      <c r="G53" s="21">
        <v>370</v>
      </c>
      <c r="H53" s="9">
        <v>876259.58689461439</v>
      </c>
      <c r="I53" s="9">
        <v>511151.4256885252</v>
      </c>
      <c r="J53" s="9">
        <v>146043.26448243577</v>
      </c>
      <c r="K53" s="9">
        <v>-219064.89672365366</v>
      </c>
      <c r="L53" s="9">
        <v>-584173.05792974308</v>
      </c>
      <c r="M53" s="9">
        <v>-949281.21913583251</v>
      </c>
      <c r="N53" s="9">
        <v>-1314389.3803419219</v>
      </c>
      <c r="O53" s="31">
        <v>650</v>
      </c>
      <c r="P53" s="19">
        <v>772134.78345741099</v>
      </c>
      <c r="Q53" s="19">
        <v>675617.93552523467</v>
      </c>
      <c r="R53" s="19">
        <v>579101.08759305836</v>
      </c>
      <c r="S53" s="19">
        <v>482584.23966088193</v>
      </c>
      <c r="T53" s="19">
        <v>386067.39172870561</v>
      </c>
      <c r="U53" s="19">
        <v>289550.54379652918</v>
      </c>
      <c r="V53" s="19">
        <v>193033.69586435286</v>
      </c>
      <c r="W53" s="19">
        <v>96516.847932176432</v>
      </c>
    </row>
    <row r="54" spans="6:23">
      <c r="F54" s="28"/>
      <c r="G54" s="22">
        <v>380</v>
      </c>
      <c r="H54" s="9">
        <v>902139.11247067247</v>
      </c>
      <c r="I54" s="9">
        <v>555162.53075118316</v>
      </c>
      <c r="J54" s="9">
        <v>208185.94903169386</v>
      </c>
      <c r="K54" s="9">
        <v>-138790.63268779544</v>
      </c>
      <c r="L54" s="9">
        <v>-485767.21440728474</v>
      </c>
      <c r="M54" s="9">
        <v>-832743.79612677451</v>
      </c>
      <c r="N54" s="9">
        <v>-1179720.3778462638</v>
      </c>
      <c r="O54" s="31">
        <v>660</v>
      </c>
      <c r="P54" s="19">
        <v>753592.47465178766</v>
      </c>
      <c r="Q54" s="19">
        <v>661690.95335278928</v>
      </c>
      <c r="R54" s="19">
        <v>569789.43205379078</v>
      </c>
      <c r="S54" s="19">
        <v>477887.91075479228</v>
      </c>
      <c r="T54" s="19">
        <v>385986.38945579377</v>
      </c>
      <c r="U54" s="19">
        <v>294084.86815679527</v>
      </c>
      <c r="V54" s="19">
        <v>202183.34685779677</v>
      </c>
      <c r="W54" s="19">
        <v>110281.82555879839</v>
      </c>
    </row>
    <row r="55" spans="6:23">
      <c r="F55" s="28"/>
      <c r="G55" s="21">
        <v>390</v>
      </c>
      <c r="H55" s="9">
        <v>924509.68617879692</v>
      </c>
      <c r="I55" s="9">
        <v>594327.65540065523</v>
      </c>
      <c r="J55" s="9">
        <v>264145.62462251354</v>
      </c>
      <c r="K55" s="9">
        <v>-66036.406155628152</v>
      </c>
      <c r="L55" s="9">
        <v>-396218.43693376984</v>
      </c>
      <c r="M55" s="9">
        <v>-726400.46771191154</v>
      </c>
      <c r="N55" s="9">
        <v>-1056582.4984900532</v>
      </c>
      <c r="O55" s="31">
        <v>670</v>
      </c>
      <c r="P55" s="19">
        <v>735057.91272052948</v>
      </c>
      <c r="Q55" s="19">
        <v>647551.01834903785</v>
      </c>
      <c r="R55" s="19">
        <v>560044.12397754623</v>
      </c>
      <c r="S55" s="19">
        <v>472537.22960605461</v>
      </c>
      <c r="T55" s="19">
        <v>385030.3352345631</v>
      </c>
      <c r="U55" s="19">
        <v>297523.44086307148</v>
      </c>
      <c r="V55" s="19">
        <v>210016.54649157985</v>
      </c>
      <c r="W55" s="19">
        <v>122509.65212008823</v>
      </c>
    </row>
    <row r="56" spans="6:23">
      <c r="F56" s="28"/>
      <c r="G56" s="22">
        <v>400</v>
      </c>
      <c r="H56" s="9">
        <v>943785.94402045198</v>
      </c>
      <c r="I56" s="9">
        <v>629190.62934696791</v>
      </c>
      <c r="J56" s="9">
        <v>314595.31467348384</v>
      </c>
      <c r="K56" s="9">
        <v>0</v>
      </c>
      <c r="L56" s="9">
        <v>-314595.31467348384</v>
      </c>
      <c r="M56" s="9">
        <v>-629190.62934696814</v>
      </c>
      <c r="N56" s="9">
        <v>-943785.94402045198</v>
      </c>
      <c r="O56" s="31">
        <v>680</v>
      </c>
      <c r="P56" s="19">
        <v>716572.75643586973</v>
      </c>
      <c r="Q56" s="19">
        <v>633250.34289681516</v>
      </c>
      <c r="R56" s="19">
        <v>549927.92935776047</v>
      </c>
      <c r="S56" s="19">
        <v>466605.5158187059</v>
      </c>
      <c r="T56" s="19">
        <v>383283.10227965121</v>
      </c>
      <c r="U56" s="19">
        <v>299960.68874059664</v>
      </c>
      <c r="V56" s="19">
        <v>216638.27520154207</v>
      </c>
      <c r="W56" s="19">
        <v>133315.86166248738</v>
      </c>
    </row>
    <row r="57" spans="6:23">
      <c r="F57" s="28"/>
      <c r="G57" s="21">
        <v>410</v>
      </c>
      <c r="H57" s="9">
        <v>960328.11959294672</v>
      </c>
      <c r="I57" s="9">
        <v>660225.58222015086</v>
      </c>
      <c r="J57" s="9">
        <v>360123.04484735522</v>
      </c>
      <c r="K57" s="9">
        <v>60020.507474559359</v>
      </c>
      <c r="L57" s="9">
        <v>-240082.02989823651</v>
      </c>
      <c r="M57" s="9">
        <v>-540184.56727103237</v>
      </c>
      <c r="N57" s="9">
        <v>-840287.10464382824</v>
      </c>
      <c r="O57" s="31">
        <v>690</v>
      </c>
      <c r="P57" s="19">
        <v>698174.66270484263</v>
      </c>
      <c r="Q57" s="19">
        <v>618836.63285201963</v>
      </c>
      <c r="R57" s="19">
        <v>539498.60299919662</v>
      </c>
      <c r="S57" s="19">
        <v>460160.57314637362</v>
      </c>
      <c r="T57" s="19">
        <v>380822.54329355061</v>
      </c>
      <c r="U57" s="19">
        <v>301484.51344072749</v>
      </c>
      <c r="V57" s="19">
        <v>222146.48358790448</v>
      </c>
      <c r="W57" s="19">
        <v>142808.45373508148</v>
      </c>
    </row>
    <row r="58" spans="6:23">
      <c r="F58" s="28"/>
      <c r="G58" s="22">
        <v>420</v>
      </c>
      <c r="H58" s="9">
        <v>974450.10362263955</v>
      </c>
      <c r="I58" s="9">
        <v>687847.13196892198</v>
      </c>
      <c r="J58" s="9">
        <v>401244.16031520464</v>
      </c>
      <c r="K58" s="9">
        <v>114641.18866148684</v>
      </c>
      <c r="L58" s="9">
        <v>-171961.78299223026</v>
      </c>
      <c r="M58" s="9">
        <v>-458564.75464594783</v>
      </c>
      <c r="N58" s="9">
        <v>-745167.7262996654</v>
      </c>
      <c r="O58" s="31">
        <v>700</v>
      </c>
      <c r="P58" s="19">
        <v>679897.57403983281</v>
      </c>
      <c r="Q58" s="19">
        <v>604353.39914651797</v>
      </c>
      <c r="R58" s="19">
        <v>528809.22425320325</v>
      </c>
      <c r="S58" s="19">
        <v>453265.04935988854</v>
      </c>
      <c r="T58" s="19">
        <v>377720.87446657382</v>
      </c>
      <c r="U58" s="19">
        <v>302176.6995732591</v>
      </c>
      <c r="V58" s="19">
        <v>226632.52467994438</v>
      </c>
      <c r="W58" s="19">
        <v>151088.34978662955</v>
      </c>
    </row>
    <row r="59" spans="6:23">
      <c r="F59" s="28"/>
      <c r="G59" s="21">
        <v>430</v>
      </c>
      <c r="H59" s="9">
        <v>986426.16711646202</v>
      </c>
      <c r="I59" s="9">
        <v>712418.89847300039</v>
      </c>
      <c r="J59" s="9">
        <v>438411.62982953875</v>
      </c>
      <c r="K59" s="9">
        <v>164404.36118607735</v>
      </c>
      <c r="L59" s="9">
        <v>-109602.90745738428</v>
      </c>
      <c r="M59" s="9">
        <v>-383610.17610084638</v>
      </c>
      <c r="N59" s="9">
        <v>-657617.44474430801</v>
      </c>
      <c r="O59" s="31">
        <v>710</v>
      </c>
      <c r="P59" s="19">
        <v>661771.98768693197</v>
      </c>
      <c r="Q59" s="19">
        <v>589840.24989487417</v>
      </c>
      <c r="R59" s="19">
        <v>517908.51210281631</v>
      </c>
      <c r="S59" s="19">
        <v>445976.77431075845</v>
      </c>
      <c r="T59" s="19">
        <v>374045.03651870065</v>
      </c>
      <c r="U59" s="19">
        <v>302113.29872664285</v>
      </c>
      <c r="V59" s="19">
        <v>230181.56093458505</v>
      </c>
      <c r="W59" s="19">
        <v>158249.82314252725</v>
      </c>
    </row>
    <row r="60" spans="6:23">
      <c r="F60" s="28"/>
      <c r="G60" s="22">
        <v>440</v>
      </c>
      <c r="H60" s="9">
        <v>996496.59317398793</v>
      </c>
      <c r="I60" s="9">
        <v>734260.64760188572</v>
      </c>
      <c r="J60" s="9">
        <v>472024.70202978351</v>
      </c>
      <c r="K60" s="9">
        <v>209788.7564576813</v>
      </c>
      <c r="L60" s="9">
        <v>-52447.189114420675</v>
      </c>
      <c r="M60" s="9">
        <v>-314683.13468652265</v>
      </c>
      <c r="N60" s="9">
        <v>-576919.08025862509</v>
      </c>
      <c r="O60" s="31">
        <v>720</v>
      </c>
      <c r="P60" s="19">
        <v>643825.20750897157</v>
      </c>
      <c r="Q60" s="19">
        <v>575333.16415695334</v>
      </c>
      <c r="R60" s="19">
        <v>506841.12080493505</v>
      </c>
      <c r="S60" s="19">
        <v>438349.07745291677</v>
      </c>
      <c r="T60" s="19">
        <v>369857.03410089854</v>
      </c>
      <c r="U60" s="19">
        <v>301364.99074888031</v>
      </c>
      <c r="V60" s="19">
        <v>232872.94739686197</v>
      </c>
      <c r="W60" s="19">
        <v>164380.90404484374</v>
      </c>
    </row>
    <row r="61" spans="6:23">
      <c r="F61" s="28"/>
      <c r="G61" s="21">
        <v>450</v>
      </c>
      <c r="H61" s="9">
        <v>1004872.4133718915</v>
      </c>
      <c r="I61" s="9">
        <v>753654.31002891855</v>
      </c>
      <c r="J61" s="9">
        <v>502436.20668594586</v>
      </c>
      <c r="K61" s="9">
        <v>251218.10334297293</v>
      </c>
      <c r="L61" s="9">
        <v>0</v>
      </c>
      <c r="M61" s="9">
        <v>-251218.1033429727</v>
      </c>
      <c r="N61" s="9">
        <v>-502436.20668594539</v>
      </c>
      <c r="O61" s="31">
        <v>730</v>
      </c>
      <c r="P61" s="19">
        <v>626081.57965712366</v>
      </c>
      <c r="Q61" s="19">
        <v>560864.74844284006</v>
      </c>
      <c r="R61" s="19">
        <v>495647.9172285563</v>
      </c>
      <c r="S61" s="19">
        <v>430431.08601427259</v>
      </c>
      <c r="T61" s="19">
        <v>365214.25479998882</v>
      </c>
      <c r="U61" s="19">
        <v>299997.42358570511</v>
      </c>
      <c r="V61" s="19">
        <v>234780.5923714214</v>
      </c>
      <c r="W61" s="19">
        <v>169563.76115713769</v>
      </c>
    </row>
    <row r="62" spans="6:23">
      <c r="F62" s="28"/>
      <c r="G62" s="22">
        <v>460</v>
      </c>
      <c r="H62" s="9">
        <v>1011739.4061688655</v>
      </c>
      <c r="I62" s="9">
        <v>770849.07136675459</v>
      </c>
      <c r="J62" s="9">
        <v>529958.73656464391</v>
      </c>
      <c r="K62" s="9">
        <v>289068.401762533</v>
      </c>
      <c r="L62" s="9">
        <v>48178.066960422322</v>
      </c>
      <c r="M62" s="9">
        <v>-192712.26784168836</v>
      </c>
      <c r="N62" s="9">
        <v>-433602.60264379904</v>
      </c>
      <c r="O62" s="31">
        <v>740</v>
      </c>
      <c r="P62" s="19">
        <v>608562.71300553926</v>
      </c>
      <c r="Q62" s="19">
        <v>546464.47698456584</v>
      </c>
      <c r="R62" s="19">
        <v>484366.24096359243</v>
      </c>
      <c r="S62" s="19">
        <v>422268.00494261901</v>
      </c>
      <c r="T62" s="19">
        <v>360169.76892164559</v>
      </c>
      <c r="U62" s="19">
        <v>298071.53290067229</v>
      </c>
      <c r="V62" s="19">
        <v>235973.29687969887</v>
      </c>
      <c r="W62" s="19">
        <v>173875.06085872545</v>
      </c>
    </row>
    <row r="63" spans="6:23">
      <c r="F63" s="28"/>
      <c r="G63" s="21">
        <v>470</v>
      </c>
      <c r="H63" s="9">
        <v>1017261.4844948249</v>
      </c>
      <c r="I63" s="9">
        <v>786065.69256418291</v>
      </c>
      <c r="J63" s="9">
        <v>554869.90063354094</v>
      </c>
      <c r="K63" s="9">
        <v>323674.10870289872</v>
      </c>
      <c r="L63" s="9">
        <v>92478.316772256745</v>
      </c>
      <c r="M63" s="9">
        <v>-138717.47515838547</v>
      </c>
      <c r="N63" s="9">
        <v>-369913.26708902745</v>
      </c>
      <c r="O63" s="31">
        <v>750</v>
      </c>
      <c r="P63" s="19">
        <v>591287.68526734842</v>
      </c>
      <c r="Q63" s="19">
        <v>532158.91674061352</v>
      </c>
      <c r="R63" s="19">
        <v>473030.14821387874</v>
      </c>
      <c r="S63" s="19">
        <v>413901.3796871439</v>
      </c>
      <c r="T63" s="19">
        <v>354772.61116040905</v>
      </c>
      <c r="U63" s="19">
        <v>295643.84263367427</v>
      </c>
      <c r="V63" s="19">
        <v>236515.07410693937</v>
      </c>
      <c r="W63" s="19">
        <v>177386.30558020459</v>
      </c>
    </row>
    <row r="64" spans="6:23">
      <c r="F64" s="28"/>
      <c r="G64" s="22">
        <v>480</v>
      </c>
      <c r="H64" s="9">
        <v>1021583.5757149851</v>
      </c>
      <c r="I64" s="9">
        <v>799500.18968998827</v>
      </c>
      <c r="J64" s="9">
        <v>577416.80366499163</v>
      </c>
      <c r="K64" s="9">
        <v>355333.41763999499</v>
      </c>
      <c r="L64" s="9">
        <v>133250.03161499812</v>
      </c>
      <c r="M64" s="9">
        <v>-88833.354409998283</v>
      </c>
      <c r="N64" s="9">
        <v>-310916.74043499539</v>
      </c>
      <c r="O64" s="31">
        <v>760</v>
      </c>
      <c r="P64" s="19">
        <v>574273.23565737135</v>
      </c>
      <c r="Q64" s="19">
        <v>517971.93804390356</v>
      </c>
      <c r="R64" s="19">
        <v>461670.64043043577</v>
      </c>
      <c r="S64" s="19">
        <v>405369.34281696798</v>
      </c>
      <c r="T64" s="19">
        <v>349068.04520350019</v>
      </c>
      <c r="U64" s="19">
        <v>292766.74759003241</v>
      </c>
      <c r="V64" s="19">
        <v>236465.44997656462</v>
      </c>
      <c r="W64" s="19">
        <v>180164.15236309695</v>
      </c>
    </row>
    <row r="65" spans="6:23">
      <c r="F65" s="28"/>
      <c r="G65" s="21">
        <v>490</v>
      </c>
      <c r="H65" s="9">
        <v>1024834.0780839792</v>
      </c>
      <c r="I65" s="9">
        <v>811326.97848315025</v>
      </c>
      <c r="J65" s="9">
        <v>597819.8788823213</v>
      </c>
      <c r="K65" s="9">
        <v>384312.77928149211</v>
      </c>
      <c r="L65" s="9">
        <v>170805.67968066316</v>
      </c>
      <c r="M65" s="9">
        <v>-42701.41992016579</v>
      </c>
      <c r="N65" s="9">
        <v>-256208.51952099497</v>
      </c>
      <c r="O65" s="31">
        <v>770</v>
      </c>
      <c r="P65" s="19">
        <v>557533.94491686812</v>
      </c>
      <c r="Q65" s="19">
        <v>503924.91175178468</v>
      </c>
      <c r="R65" s="19">
        <v>450315.87858670118</v>
      </c>
      <c r="S65" s="19">
        <v>396706.84542161773</v>
      </c>
      <c r="T65" s="19">
        <v>343097.81225653423</v>
      </c>
      <c r="U65" s="19">
        <v>289488.77909145073</v>
      </c>
      <c r="V65" s="19">
        <v>235879.74592636724</v>
      </c>
      <c r="W65" s="19">
        <v>182270.71276128385</v>
      </c>
    </row>
    <row r="66" spans="6:23">
      <c r="F66" s="28"/>
      <c r="G66" s="22">
        <v>500</v>
      </c>
      <c r="H66" s="9">
        <v>1027126.9625519544</v>
      </c>
      <c r="I66" s="9">
        <v>821701.57004156359</v>
      </c>
      <c r="J66" s="9">
        <v>616276.17753117275</v>
      </c>
      <c r="K66" s="9">
        <v>410850.78502078168</v>
      </c>
      <c r="L66" s="9">
        <v>205425.39251039084</v>
      </c>
      <c r="M66" s="9">
        <v>0</v>
      </c>
      <c r="N66" s="9">
        <v>-205425.39251039084</v>
      </c>
      <c r="O66" s="31">
        <v>780</v>
      </c>
      <c r="P66" s="19">
        <v>541082.40346844215</v>
      </c>
      <c r="Q66" s="19">
        <v>490036.89370726841</v>
      </c>
      <c r="R66" s="19">
        <v>438991.3839460946</v>
      </c>
      <c r="S66" s="19">
        <v>387945.8741849208</v>
      </c>
      <c r="T66" s="19">
        <v>336900.364423747</v>
      </c>
      <c r="U66" s="19">
        <v>285854.85466257326</v>
      </c>
      <c r="V66" s="19">
        <v>234809.34490139945</v>
      </c>
      <c r="W66" s="19">
        <v>183763.83514022571</v>
      </c>
    </row>
    <row r="67" spans="6:23">
      <c r="F67" s="28"/>
      <c r="G67" s="21">
        <v>510</v>
      </c>
      <c r="H67" s="9">
        <v>1028563.5765301574</v>
      </c>
      <c r="I67" s="9">
        <v>830762.88873589621</v>
      </c>
      <c r="J67" s="9">
        <v>632962.2009416353</v>
      </c>
      <c r="K67" s="9">
        <v>435161.51314737438</v>
      </c>
      <c r="L67" s="9">
        <v>237360.82535311324</v>
      </c>
      <c r="M67" s="9">
        <v>39560.137558852322</v>
      </c>
      <c r="N67" s="9">
        <v>-158240.55023540882</v>
      </c>
      <c r="O67" s="31">
        <v>790</v>
      </c>
      <c r="P67" s="19">
        <v>524929.36842464958</v>
      </c>
      <c r="Q67" s="19">
        <v>476324.79727421911</v>
      </c>
      <c r="R67" s="19">
        <v>427720.22612378857</v>
      </c>
      <c r="S67" s="19">
        <v>379115.65497335803</v>
      </c>
      <c r="T67" s="19">
        <v>330511.08382292755</v>
      </c>
      <c r="U67" s="19">
        <v>281906.51267249702</v>
      </c>
      <c r="V67" s="19">
        <v>233301.94152206648</v>
      </c>
      <c r="W67" s="19">
        <v>184697.370371636</v>
      </c>
    </row>
    <row r="68" spans="6:23">
      <c r="F68" s="28"/>
      <c r="G68" s="22">
        <v>520</v>
      </c>
      <c r="H68" s="9">
        <v>1029234.1963338713</v>
      </c>
      <c r="I68" s="9">
        <v>838635.27108685812</v>
      </c>
      <c r="J68" s="9">
        <v>648036.34583984478</v>
      </c>
      <c r="K68" s="9">
        <v>457437.42059283168</v>
      </c>
      <c r="L68" s="9">
        <v>266838.49534581834</v>
      </c>
      <c r="M68" s="9">
        <v>76239.570098805241</v>
      </c>
      <c r="N68" s="9">
        <v>-114359.35514820809</v>
      </c>
      <c r="O68" s="31">
        <v>800</v>
      </c>
      <c r="P68" s="19">
        <v>509083.91013181122</v>
      </c>
      <c r="Q68" s="19">
        <v>462803.55466528295</v>
      </c>
      <c r="R68" s="19">
        <v>416523.19919875462</v>
      </c>
      <c r="S68" s="19">
        <v>370242.84373222635</v>
      </c>
      <c r="T68" s="19">
        <v>323962.48826569802</v>
      </c>
      <c r="U68" s="19">
        <v>277682.13279916975</v>
      </c>
      <c r="V68" s="19">
        <v>231401.77733264148</v>
      </c>
      <c r="W68" s="19">
        <v>185121.4218661132</v>
      </c>
    </row>
    <row r="69" spans="6:23">
      <c r="F69" s="28"/>
      <c r="G69" s="21">
        <v>530</v>
      </c>
      <c r="H69" s="9">
        <v>1029219.3670047275</v>
      </c>
      <c r="I69" s="9">
        <v>845430.19432531181</v>
      </c>
      <c r="J69" s="9">
        <v>661641.02164589614</v>
      </c>
      <c r="K69" s="9">
        <v>477851.84896648047</v>
      </c>
      <c r="L69" s="9">
        <v>294062.67628706503</v>
      </c>
      <c r="M69" s="9">
        <v>110273.50360764936</v>
      </c>
      <c r="N69" s="9">
        <v>-73515.669071766315</v>
      </c>
      <c r="O69" s="31">
        <v>810</v>
      </c>
      <c r="P69" s="19">
        <v>493553.54889083368</v>
      </c>
      <c r="Q69" s="19">
        <v>449486.26773986639</v>
      </c>
      <c r="R69" s="19">
        <v>405418.9865888991</v>
      </c>
      <c r="S69" s="19">
        <v>361351.70543793181</v>
      </c>
      <c r="T69" s="19">
        <v>317284.42428696452</v>
      </c>
      <c r="U69" s="19">
        <v>273217.14313599723</v>
      </c>
      <c r="V69" s="19">
        <v>229149.86198502994</v>
      </c>
      <c r="W69" s="19">
        <v>185082.58083406265</v>
      </c>
    </row>
    <row r="70" spans="6:23">
      <c r="F70" s="28"/>
      <c r="G70" s="22">
        <v>540</v>
      </c>
      <c r="H70" s="9">
        <v>1028591.0616905537</v>
      </c>
      <c r="I70" s="9">
        <v>851247.77519218228</v>
      </c>
      <c r="J70" s="9">
        <v>673904.488693811</v>
      </c>
      <c r="K70" s="9">
        <v>496561.20219543972</v>
      </c>
      <c r="L70" s="9">
        <v>319217.91569706821</v>
      </c>
      <c r="M70" s="9">
        <v>141874.62919869693</v>
      </c>
      <c r="N70" s="9">
        <v>-35468.657299674349</v>
      </c>
      <c r="O70" s="31">
        <v>820</v>
      </c>
      <c r="P70" s="19">
        <v>478344.38245939417</v>
      </c>
      <c r="Q70" s="19">
        <v>436384.34891032451</v>
      </c>
      <c r="R70" s="19">
        <v>394424.31536125485</v>
      </c>
      <c r="S70" s="19">
        <v>352464.28181218513</v>
      </c>
      <c r="T70" s="19">
        <v>310504.24826311547</v>
      </c>
      <c r="U70" s="19">
        <v>268544.21471404581</v>
      </c>
      <c r="V70" s="19">
        <v>226584.18116497615</v>
      </c>
      <c r="W70" s="19">
        <v>184624.14761590649</v>
      </c>
    </row>
    <row r="71" spans="6:23">
      <c r="F71" s="28"/>
      <c r="G71" s="21">
        <v>550</v>
      </c>
      <c r="H71" s="9">
        <v>1027413.6874300336</v>
      </c>
      <c r="I71" s="9">
        <v>856178.07285836141</v>
      </c>
      <c r="J71" s="9">
        <v>684942.45828668913</v>
      </c>
      <c r="K71" s="9">
        <v>513706.84371501673</v>
      </c>
      <c r="L71" s="9">
        <v>342471.22914334456</v>
      </c>
      <c r="M71" s="9">
        <v>171235.61457167217</v>
      </c>
      <c r="N71" s="9">
        <v>0</v>
      </c>
      <c r="O71" s="31">
        <v>830</v>
      </c>
      <c r="P71" s="19">
        <v>463461.20490450744</v>
      </c>
      <c r="Q71" s="19">
        <v>423507.65275756712</v>
      </c>
      <c r="R71" s="19">
        <v>383554.10061062686</v>
      </c>
      <c r="S71" s="19">
        <v>343600.54846368654</v>
      </c>
      <c r="T71" s="19">
        <v>303646.99631674623</v>
      </c>
      <c r="U71" s="19">
        <v>263693.44416980597</v>
      </c>
      <c r="V71" s="19">
        <v>223739.89202286565</v>
      </c>
      <c r="W71" s="19">
        <v>183786.33987592533</v>
      </c>
    </row>
    <row r="72" spans="6:23">
      <c r="F72" s="28"/>
      <c r="G72" s="22">
        <v>560</v>
      </c>
      <c r="H72" s="9">
        <v>1025744.959816792</v>
      </c>
      <c r="I72" s="9">
        <v>860302.22436247068</v>
      </c>
      <c r="J72" s="9">
        <v>694859.4889081493</v>
      </c>
      <c r="K72" s="9">
        <v>529416.75345382816</v>
      </c>
      <c r="L72" s="9">
        <v>363974.01799950679</v>
      </c>
      <c r="M72" s="9">
        <v>198531.28254518565</v>
      </c>
      <c r="N72" s="9">
        <v>33088.547090864275</v>
      </c>
      <c r="O72" s="31">
        <v>840</v>
      </c>
      <c r="P72" s="19">
        <v>448907.61734115274</v>
      </c>
      <c r="Q72" s="19">
        <v>410864.59892241098</v>
      </c>
      <c r="R72" s="19">
        <v>372821.58050366922</v>
      </c>
      <c r="S72" s="19">
        <v>334778.56208492746</v>
      </c>
      <c r="T72" s="19">
        <v>296735.54366618575</v>
      </c>
      <c r="U72" s="19">
        <v>258692.52524744399</v>
      </c>
      <c r="V72" s="19">
        <v>220649.50682870223</v>
      </c>
      <c r="W72" s="19">
        <v>182606.48840996047</v>
      </c>
    </row>
    <row r="73" spans="6:23">
      <c r="F73" s="28"/>
      <c r="G73" s="21">
        <v>570</v>
      </c>
      <c r="H73" s="9">
        <v>1023636.6654178022</v>
      </c>
      <c r="I73" s="9">
        <v>863693.43644627067</v>
      </c>
      <c r="J73" s="9">
        <v>703750.20747473906</v>
      </c>
      <c r="K73" s="9">
        <v>543806.97850320744</v>
      </c>
      <c r="L73" s="9">
        <v>383863.74953167583</v>
      </c>
      <c r="M73" s="9">
        <v>223920.52056014421</v>
      </c>
      <c r="N73" s="9">
        <v>63977.291588612599</v>
      </c>
      <c r="O73" s="31">
        <v>850</v>
      </c>
      <c r="P73" s="19">
        <v>434686.13106118259</v>
      </c>
      <c r="Q73" s="19">
        <v>398462.28680608398</v>
      </c>
      <c r="R73" s="19">
        <v>362238.44255098549</v>
      </c>
      <c r="S73" s="19">
        <v>326014.59829588694</v>
      </c>
      <c r="T73" s="19">
        <v>289790.75404078839</v>
      </c>
      <c r="U73" s="19">
        <v>253566.90978568984</v>
      </c>
      <c r="V73" s="19">
        <v>217343.0655305913</v>
      </c>
      <c r="W73" s="19">
        <v>181119.22127549275</v>
      </c>
    </row>
    <row r="74" spans="6:23">
      <c r="F74" s="28"/>
      <c r="G74" s="22">
        <v>580</v>
      </c>
      <c r="H74" s="9">
        <v>1021135.3278467448</v>
      </c>
      <c r="I74" s="9">
        <v>866417.85393057123</v>
      </c>
      <c r="J74" s="9">
        <v>711700.3800143979</v>
      </c>
      <c r="K74" s="9">
        <v>556982.90609822446</v>
      </c>
      <c r="L74" s="9">
        <v>402265.43218205101</v>
      </c>
      <c r="M74" s="9">
        <v>247547.95826587756</v>
      </c>
      <c r="N74" s="9">
        <v>92830.484349703882</v>
      </c>
      <c r="O74" s="31">
        <v>860</v>
      </c>
      <c r="P74" s="19">
        <v>420798.2635270778</v>
      </c>
      <c r="Q74" s="19">
        <v>386306.60258223535</v>
      </c>
      <c r="R74" s="19">
        <v>351814.94163739291</v>
      </c>
      <c r="S74" s="19">
        <v>317323.28069255047</v>
      </c>
      <c r="T74" s="19">
        <v>282831.61974770803</v>
      </c>
      <c r="U74" s="19">
        <v>248339.95880286559</v>
      </c>
      <c r="V74" s="19">
        <v>213848.29785802314</v>
      </c>
      <c r="W74" s="19">
        <v>179356.6369131807</v>
      </c>
    </row>
    <row r="75" spans="6:23">
      <c r="F75" s="28"/>
      <c r="G75" s="21">
        <v>590</v>
      </c>
      <c r="H75" s="9">
        <v>1018282.7909276341</v>
      </c>
      <c r="I75" s="9">
        <v>868535.3216735702</v>
      </c>
      <c r="J75" s="9">
        <v>718787.85241950641</v>
      </c>
      <c r="K75" s="9">
        <v>569040.38316544262</v>
      </c>
      <c r="L75" s="9">
        <v>419292.91391137871</v>
      </c>
      <c r="M75" s="9">
        <v>269545.44465731503</v>
      </c>
      <c r="N75" s="9">
        <v>119797.97540325113</v>
      </c>
      <c r="O75" s="31">
        <v>870</v>
      </c>
      <c r="P75" s="19">
        <v>407244.62767710956</v>
      </c>
      <c r="Q75" s="19">
        <v>374402.31899347168</v>
      </c>
      <c r="R75" s="19">
        <v>341560.0103098338</v>
      </c>
      <c r="S75" s="19">
        <v>308717.70162619592</v>
      </c>
      <c r="T75" s="19">
        <v>275875.3929425581</v>
      </c>
      <c r="U75" s="19">
        <v>243033.08425892022</v>
      </c>
      <c r="V75" s="19">
        <v>210190.77557528234</v>
      </c>
      <c r="W75" s="19">
        <v>177348.46689164452</v>
      </c>
    </row>
    <row r="76" spans="6:23">
      <c r="F76" s="28"/>
      <c r="G76" s="22">
        <v>600</v>
      </c>
      <c r="H76" s="9">
        <v>1015116.7303333904</v>
      </c>
      <c r="I76" s="9">
        <v>870100.05457147758</v>
      </c>
      <c r="J76" s="9">
        <v>725083.37880956463</v>
      </c>
      <c r="K76" s="9">
        <v>580066.70304765156</v>
      </c>
      <c r="L76" s="9">
        <v>435050.02728573862</v>
      </c>
      <c r="M76" s="9">
        <v>290033.35152382567</v>
      </c>
      <c r="N76" s="9">
        <v>145016.67576191295</v>
      </c>
      <c r="O76" s="31">
        <v>880</v>
      </c>
      <c r="P76" s="19">
        <v>394025.01496209571</v>
      </c>
      <c r="Q76" s="19">
        <v>362753.18837780238</v>
      </c>
      <c r="R76" s="19">
        <v>331481.3617935091</v>
      </c>
      <c r="S76" s="19">
        <v>300209.53520921583</v>
      </c>
      <c r="T76" s="19">
        <v>268937.7086249225</v>
      </c>
      <c r="U76" s="19">
        <v>237665.88204062916</v>
      </c>
      <c r="V76" s="19">
        <v>206394.05545633589</v>
      </c>
      <c r="W76" s="19">
        <v>175122.22887204256</v>
      </c>
    </row>
    <row r="77" spans="6:23">
      <c r="F77" s="28"/>
      <c r="G77" s="21">
        <v>610</v>
      </c>
      <c r="H77" s="9">
        <v>1011671.1033731956</v>
      </c>
      <c r="I77" s="9">
        <v>871161.22790469625</v>
      </c>
      <c r="J77" s="9">
        <v>730651.35243619687</v>
      </c>
      <c r="K77" s="9">
        <v>590141.4769676975</v>
      </c>
      <c r="L77" s="9">
        <v>449631.601499198</v>
      </c>
      <c r="M77" s="9">
        <v>309121.72603069874</v>
      </c>
      <c r="N77" s="9">
        <v>168611.85056219948</v>
      </c>
      <c r="O77" s="31">
        <v>890</v>
      </c>
      <c r="P77" s="19">
        <v>381138.47250903235</v>
      </c>
      <c r="Q77" s="19">
        <v>351362.02934426419</v>
      </c>
      <c r="R77" s="19">
        <v>321585.58617949602</v>
      </c>
      <c r="S77" s="19">
        <v>291809.14301472786</v>
      </c>
      <c r="T77" s="19">
        <v>262032.6998499597</v>
      </c>
      <c r="U77" s="19">
        <v>232256.25668519159</v>
      </c>
      <c r="V77" s="19">
        <v>202479.81352042343</v>
      </c>
      <c r="W77" s="19">
        <v>172703.37035565526</v>
      </c>
    </row>
    <row r="78" spans="6:23">
      <c r="F78" s="28"/>
      <c r="G78" s="22">
        <v>620</v>
      </c>
      <c r="H78" s="9">
        <v>1007976.5451707261</v>
      </c>
      <c r="I78" s="9">
        <v>871763.49852603336</v>
      </c>
      <c r="J78" s="9">
        <v>735550.4518813407</v>
      </c>
      <c r="K78" s="9">
        <v>599337.40523664793</v>
      </c>
      <c r="L78" s="9">
        <v>463124.35859195516</v>
      </c>
      <c r="M78" s="9">
        <v>326911.31194726261</v>
      </c>
      <c r="N78" s="9">
        <v>190698.26530256984</v>
      </c>
      <c r="O78" s="31">
        <v>900</v>
      </c>
      <c r="P78" s="19">
        <v>368583.37478341919</v>
      </c>
      <c r="Q78" s="19">
        <v>340230.8074923869</v>
      </c>
      <c r="R78" s="19">
        <v>311878.24020135473</v>
      </c>
      <c r="S78" s="19">
        <v>283525.67291032244</v>
      </c>
      <c r="T78" s="19">
        <v>255173.1056192902</v>
      </c>
      <c r="U78" s="19">
        <v>226820.53832825797</v>
      </c>
      <c r="V78" s="19">
        <v>198467.97103722574</v>
      </c>
      <c r="W78" s="19">
        <v>170115.40374619345</v>
      </c>
    </row>
    <row r="79" spans="6:23">
      <c r="F79" s="28"/>
      <c r="G79" s="21">
        <v>630</v>
      </c>
      <c r="H79" s="9">
        <v>1004060.7182736391</v>
      </c>
      <c r="I79" s="9">
        <v>871947.46586921287</v>
      </c>
      <c r="J79" s="9">
        <v>739834.21346478665</v>
      </c>
      <c r="K79" s="9">
        <v>607720.96106036054</v>
      </c>
      <c r="L79" s="9">
        <v>475607.70865593432</v>
      </c>
      <c r="M79" s="9">
        <v>343494.45625150809</v>
      </c>
      <c r="N79" s="9">
        <v>211381.20384708187</v>
      </c>
      <c r="O79" s="31">
        <v>910</v>
      </c>
      <c r="P79" s="19">
        <v>356357.49009996932</v>
      </c>
      <c r="Q79" s="19">
        <v>329360.71054694132</v>
      </c>
      <c r="R79" s="19">
        <v>302363.93099391332</v>
      </c>
      <c r="S79" s="19">
        <v>275367.15144088538</v>
      </c>
      <c r="T79" s="19">
        <v>248370.37188785739</v>
      </c>
      <c r="U79" s="19">
        <v>221373.59233482945</v>
      </c>
      <c r="V79" s="19">
        <v>194376.81278180145</v>
      </c>
      <c r="W79" s="19">
        <v>167380.03322877345</v>
      </c>
    </row>
    <row r="80" spans="6:23">
      <c r="F80" s="28"/>
      <c r="G80" s="22">
        <v>640</v>
      </c>
      <c r="H80" s="9">
        <v>999948.6217231066</v>
      </c>
      <c r="I80" s="9">
        <v>871750.08047655446</v>
      </c>
      <c r="J80" s="9">
        <v>743551.53923000232</v>
      </c>
      <c r="K80" s="9">
        <v>615352.99798345019</v>
      </c>
      <c r="L80" s="9">
        <v>487154.45673689805</v>
      </c>
      <c r="M80" s="9">
        <v>358955.91549034603</v>
      </c>
      <c r="N80" s="9">
        <v>230757.37424379378</v>
      </c>
      <c r="O80" s="31">
        <v>920</v>
      </c>
      <c r="P80" s="19">
        <v>344458.04231051716</v>
      </c>
      <c r="Q80" s="19">
        <v>318752.21825749346</v>
      </c>
      <c r="R80" s="19">
        <v>293046.39420446981</v>
      </c>
      <c r="S80" s="19">
        <v>267340.57015144615</v>
      </c>
      <c r="T80" s="19">
        <v>241634.74609842247</v>
      </c>
      <c r="U80" s="19">
        <v>215928.92204539879</v>
      </c>
      <c r="V80" s="19">
        <v>190223.09799237514</v>
      </c>
      <c r="W80" s="19">
        <v>164517.27393935149</v>
      </c>
    </row>
    <row r="81" spans="6:23">
      <c r="F81" s="28"/>
      <c r="G81" s="21">
        <v>650</v>
      </c>
      <c r="H81" s="9">
        <v>995662.86475852493</v>
      </c>
      <c r="I81" s="9">
        <v>871205.0066637093</v>
      </c>
      <c r="J81" s="9">
        <v>746747.14856889367</v>
      </c>
      <c r="K81" s="9">
        <v>622289.29047407815</v>
      </c>
      <c r="L81" s="9">
        <v>497831.43237926252</v>
      </c>
      <c r="M81" s="9">
        <v>373373.57428444689</v>
      </c>
      <c r="N81" s="9">
        <v>248915.71618963126</v>
      </c>
      <c r="O81" s="31">
        <v>930</v>
      </c>
      <c r="P81" s="19">
        <v>332881.76797829161</v>
      </c>
      <c r="Q81" s="19">
        <v>308405.16739165253</v>
      </c>
      <c r="R81" s="19">
        <v>283928.56680501346</v>
      </c>
      <c r="S81" s="19">
        <v>259451.96621837435</v>
      </c>
      <c r="T81" s="19">
        <v>234975.36563173524</v>
      </c>
      <c r="U81" s="19">
        <v>210498.76504509617</v>
      </c>
      <c r="V81" s="19">
        <v>186022.16445845709</v>
      </c>
      <c r="W81" s="19">
        <v>161545.56387181801</v>
      </c>
    </row>
    <row r="82" spans="6:23">
      <c r="F82" s="28"/>
      <c r="G82" s="22">
        <v>660</v>
      </c>
      <c r="H82" s="9">
        <v>991223.9096099257</v>
      </c>
      <c r="I82" s="9">
        <v>870342.94502334937</v>
      </c>
      <c r="J82" s="9">
        <v>749461.98043677304</v>
      </c>
      <c r="K82" s="9">
        <v>628581.01585019683</v>
      </c>
      <c r="L82" s="9">
        <v>507700.05126362038</v>
      </c>
      <c r="M82" s="9">
        <v>386819.08667704416</v>
      </c>
      <c r="N82" s="9">
        <v>265938.12209046795</v>
      </c>
      <c r="O82" s="31">
        <v>940</v>
      </c>
      <c r="P82" s="19">
        <v>321624.96932915808</v>
      </c>
      <c r="Q82" s="19">
        <v>298318.812131393</v>
      </c>
      <c r="R82" s="19">
        <v>275012.65493362793</v>
      </c>
      <c r="S82" s="19">
        <v>251706.49773586288</v>
      </c>
      <c r="T82" s="19">
        <v>228400.34053809778</v>
      </c>
      <c r="U82" s="19">
        <v>205094.1833403327</v>
      </c>
      <c r="V82" s="19">
        <v>181788.02614256763</v>
      </c>
      <c r="W82" s="19">
        <v>158481.86894480255</v>
      </c>
    </row>
    <row r="83" spans="6:23">
      <c r="F83" s="28"/>
      <c r="G83" s="21">
        <v>670</v>
      </c>
      <c r="H83" s="9">
        <v>986650.28721765475</v>
      </c>
      <c r="I83" s="9">
        <v>869191.91969174345</v>
      </c>
      <c r="J83" s="9">
        <v>751733.55216583214</v>
      </c>
      <c r="K83" s="9">
        <v>634275.18463992095</v>
      </c>
      <c r="L83" s="9">
        <v>516816.81711400952</v>
      </c>
      <c r="M83" s="9">
        <v>399358.44958809833</v>
      </c>
      <c r="N83" s="9">
        <v>281900.08206218714</v>
      </c>
      <c r="O83" s="31">
        <v>950</v>
      </c>
      <c r="P83" s="19">
        <v>310683.56325298443</v>
      </c>
      <c r="Q83" s="19">
        <v>288491.88016348553</v>
      </c>
      <c r="R83" s="19">
        <v>266300.19707398664</v>
      </c>
      <c r="S83" s="19">
        <v>244108.51398448777</v>
      </c>
      <c r="T83" s="19">
        <v>221916.83089498887</v>
      </c>
      <c r="U83" s="19">
        <v>199725.14780548998</v>
      </c>
      <c r="V83" s="19">
        <v>177533.46471599111</v>
      </c>
      <c r="W83" s="19">
        <v>155341.78162649221</v>
      </c>
    </row>
    <row r="84" spans="6:23">
      <c r="F84" s="28"/>
      <c r="G84" s="22">
        <v>680</v>
      </c>
      <c r="H84" s="9">
        <v>981958.7891974916</v>
      </c>
      <c r="I84" s="9">
        <v>867777.53463964374</v>
      </c>
      <c r="J84" s="9">
        <v>753596.28008179588</v>
      </c>
      <c r="K84" s="9">
        <v>639415.02552394802</v>
      </c>
      <c r="L84" s="9">
        <v>525233.77096610016</v>
      </c>
      <c r="M84" s="9">
        <v>411052.5164082523</v>
      </c>
      <c r="N84" s="9">
        <v>296871.26185040432</v>
      </c>
      <c r="O84" s="31">
        <v>960</v>
      </c>
      <c r="P84" s="19">
        <v>300053.12661179784</v>
      </c>
      <c r="Q84" s="19">
        <v>278922.62473772757</v>
      </c>
      <c r="R84" s="19">
        <v>257792.12286365734</v>
      </c>
      <c r="S84" s="19">
        <v>236661.62098958707</v>
      </c>
      <c r="T84" s="19">
        <v>215531.11911551678</v>
      </c>
      <c r="U84" s="19">
        <v>194400.61724144651</v>
      </c>
      <c r="V84" s="19">
        <v>173270.11536737625</v>
      </c>
      <c r="W84" s="19">
        <v>152139.61349330598</v>
      </c>
    </row>
    <row r="85" spans="6:23">
      <c r="F85" s="28"/>
      <c r="G85" s="21">
        <v>690</v>
      </c>
      <c r="H85" s="9">
        <v>977164.63892481162</v>
      </c>
      <c r="I85" s="9">
        <v>866123.20268335578</v>
      </c>
      <c r="J85" s="9">
        <v>755081.76644189993</v>
      </c>
      <c r="K85" s="9">
        <v>644040.33020044409</v>
      </c>
      <c r="L85" s="9">
        <v>532998.89395898825</v>
      </c>
      <c r="M85" s="9">
        <v>421957.45771753229</v>
      </c>
      <c r="N85" s="9">
        <v>310916.02147607645</v>
      </c>
      <c r="O85" s="31">
        <v>970</v>
      </c>
      <c r="P85" s="19">
        <v>289728.93809589982</v>
      </c>
      <c r="Q85" s="19">
        <v>269608.87295035121</v>
      </c>
      <c r="R85" s="19">
        <v>249488.80780480264</v>
      </c>
      <c r="S85" s="19">
        <v>229368.74265925403</v>
      </c>
      <c r="T85" s="19">
        <v>209248.67751370542</v>
      </c>
      <c r="U85" s="19">
        <v>189128.61236815684</v>
      </c>
      <c r="V85" s="19">
        <v>169008.54722260823</v>
      </c>
      <c r="W85" s="19">
        <v>148888.48207705963</v>
      </c>
    </row>
    <row r="86" spans="6:23">
      <c r="F86" s="28"/>
      <c r="G86" s="22">
        <v>700</v>
      </c>
      <c r="H86" s="9">
        <v>972281.64423152944</v>
      </c>
      <c r="I86" s="9">
        <v>864250.35042802617</v>
      </c>
      <c r="J86" s="9">
        <v>756219.0566245229</v>
      </c>
      <c r="K86" s="9">
        <v>648187.76282101974</v>
      </c>
      <c r="L86" s="9">
        <v>540156.46901751647</v>
      </c>
      <c r="M86" s="9">
        <v>432125.17521401308</v>
      </c>
      <c r="N86" s="9">
        <v>324093.88141050981</v>
      </c>
      <c r="O86" s="31">
        <v>980</v>
      </c>
      <c r="P86" s="19">
        <v>279706.01685448131</v>
      </c>
      <c r="Q86" s="19">
        <v>260548.07049458532</v>
      </c>
      <c r="R86" s="19">
        <v>241390.12413468937</v>
      </c>
      <c r="S86" s="19">
        <v>222232.17777479338</v>
      </c>
      <c r="T86" s="19">
        <v>203074.2314148974</v>
      </c>
      <c r="U86" s="19">
        <v>183916.28505500141</v>
      </c>
      <c r="V86" s="19">
        <v>164758.33869510543</v>
      </c>
      <c r="W86" s="19">
        <v>145600.39233520944</v>
      </c>
    </row>
    <row r="87" spans="6:23">
      <c r="F87" s="28"/>
      <c r="G87" s="21">
        <v>710</v>
      </c>
      <c r="H87" s="9">
        <v>967322.33388415305</v>
      </c>
      <c r="I87" s="9">
        <v>862178.60194022337</v>
      </c>
      <c r="J87" s="9">
        <v>757034.86999629368</v>
      </c>
      <c r="K87" s="9">
        <v>651891.138052364</v>
      </c>
      <c r="L87" s="9">
        <v>546747.40610843431</v>
      </c>
      <c r="M87" s="9">
        <v>441603.67416450451</v>
      </c>
      <c r="N87" s="9">
        <v>336459.94222057494</v>
      </c>
      <c r="O87" s="31">
        <v>990</v>
      </c>
      <c r="P87" s="19">
        <v>269979.15811350278</v>
      </c>
      <c r="Q87" s="19">
        <v>251737.32310583367</v>
      </c>
      <c r="R87" s="19">
        <v>233495.48809816458</v>
      </c>
      <c r="S87" s="19">
        <v>215253.65309049547</v>
      </c>
      <c r="T87" s="19">
        <v>197011.81808282636</v>
      </c>
      <c r="U87" s="19">
        <v>178769.98307515724</v>
      </c>
      <c r="V87" s="19">
        <v>160528.14806748813</v>
      </c>
      <c r="W87" s="19">
        <v>142286.31305981902</v>
      </c>
    </row>
    <row r="88" spans="6:23">
      <c r="F88" s="28"/>
      <c r="G88" s="22">
        <v>720</v>
      </c>
      <c r="H88" s="9">
        <v>962298.07973197522</v>
      </c>
      <c r="I88" s="9">
        <v>859925.94359027583</v>
      </c>
      <c r="J88" s="9">
        <v>757553.80744857632</v>
      </c>
      <c r="K88" s="9">
        <v>655181.67130687681</v>
      </c>
      <c r="L88" s="9">
        <v>552809.53516517731</v>
      </c>
      <c r="M88" s="9">
        <v>450437.3990234778</v>
      </c>
      <c r="N88" s="9">
        <v>348065.26288177841</v>
      </c>
      <c r="O88" s="31">
        <v>1000</v>
      </c>
      <c r="P88" s="19">
        <v>260542.96598064178</v>
      </c>
      <c r="Q88" s="19">
        <v>243173.43491526565</v>
      </c>
      <c r="R88" s="19">
        <v>225803.90384988952</v>
      </c>
      <c r="S88" s="19">
        <v>208434.37278451343</v>
      </c>
      <c r="T88" s="19">
        <v>191064.8417191373</v>
      </c>
      <c r="U88" s="19">
        <v>173695.31065376117</v>
      </c>
      <c r="V88" s="19">
        <v>156325.77958838508</v>
      </c>
      <c r="W88" s="19">
        <v>138956.24852300895</v>
      </c>
    </row>
    <row r="89" spans="6:23">
      <c r="F89" s="28"/>
      <c r="G89" s="21">
        <v>730</v>
      </c>
      <c r="H89" s="9">
        <v>957219.20617416454</v>
      </c>
      <c r="I89" s="9">
        <v>857508.87219768902</v>
      </c>
      <c r="J89" s="9">
        <v>757798.53822121362</v>
      </c>
      <c r="K89" s="9">
        <v>658088.2042447381</v>
      </c>
      <c r="L89" s="9">
        <v>558377.87026826269</v>
      </c>
      <c r="M89" s="9">
        <v>458667.53629178717</v>
      </c>
      <c r="N89" s="9">
        <v>358957.20231531165</v>
      </c>
      <c r="O89" s="31">
        <v>1010</v>
      </c>
      <c r="P89" s="19">
        <v>251391.88362487912</v>
      </c>
      <c r="Q89" s="19">
        <v>234852.943912716</v>
      </c>
      <c r="R89" s="19">
        <v>218314.00420055291</v>
      </c>
      <c r="S89" s="19">
        <v>201775.06448838979</v>
      </c>
      <c r="T89" s="19">
        <v>185236.1247762267</v>
      </c>
      <c r="U89" s="19">
        <v>168697.18506406361</v>
      </c>
      <c r="V89" s="19">
        <v>152158.24535190052</v>
      </c>
      <c r="W89" s="19">
        <v>135619.3056397374</v>
      </c>
    </row>
    <row r="90" spans="6:23">
      <c r="F90" s="28"/>
      <c r="G90" s="22">
        <v>740</v>
      </c>
      <c r="H90" s="9">
        <v>952095.08838743321</v>
      </c>
      <c r="I90" s="9">
        <v>854942.52834789921</v>
      </c>
      <c r="J90" s="9">
        <v>757789.96830836521</v>
      </c>
      <c r="K90" s="9">
        <v>660637.4082688312</v>
      </c>
      <c r="L90" s="9">
        <v>563484.8482292972</v>
      </c>
      <c r="M90" s="9">
        <v>466332.2881897632</v>
      </c>
      <c r="N90" s="9">
        <v>369179.7281502292</v>
      </c>
      <c r="O90" s="31">
        <v>1020</v>
      </c>
      <c r="P90" s="19">
        <v>242520.22100680089</v>
      </c>
      <c r="Q90" s="19">
        <v>226772.15470765799</v>
      </c>
      <c r="R90" s="19">
        <v>211024.08840851509</v>
      </c>
      <c r="S90" s="19">
        <v>195276.02210937216</v>
      </c>
      <c r="T90" s="19">
        <v>179527.95581022924</v>
      </c>
      <c r="U90" s="19">
        <v>163779.88951108631</v>
      </c>
      <c r="V90" s="19">
        <v>148031.82321194341</v>
      </c>
      <c r="W90" s="19">
        <v>132283.75691280048</v>
      </c>
    </row>
    <row r="91" spans="6:23">
      <c r="F91" s="28"/>
      <c r="G91" s="21">
        <v>750</v>
      </c>
      <c r="H91" s="9">
        <v>946934.24057703989</v>
      </c>
      <c r="I91" s="9">
        <v>852240.81651933596</v>
      </c>
      <c r="J91" s="9">
        <v>757547.39246163191</v>
      </c>
      <c r="K91" s="9">
        <v>662853.96840392787</v>
      </c>
      <c r="L91" s="9">
        <v>568160.54434622393</v>
      </c>
      <c r="M91" s="9">
        <v>473467.12028851989</v>
      </c>
      <c r="N91" s="9">
        <v>378773.69623081596</v>
      </c>
      <c r="O91" s="31">
        <v>1030</v>
      </c>
      <c r="P91" s="19">
        <v>233922.18032484385</v>
      </c>
      <c r="Q91" s="19">
        <v>218927.16876555898</v>
      </c>
      <c r="R91" s="19">
        <v>203932.15720627413</v>
      </c>
      <c r="S91" s="19">
        <v>188937.14564698929</v>
      </c>
      <c r="T91" s="19">
        <v>173942.13408770441</v>
      </c>
      <c r="U91" s="19">
        <v>158947.12252841954</v>
      </c>
      <c r="V91" s="19">
        <v>143952.11096913469</v>
      </c>
      <c r="W91" s="19">
        <v>128957.09940984982</v>
      </c>
    </row>
    <row r="92" spans="6:23">
      <c r="F92" s="28"/>
      <c r="G92" s="22">
        <v>760</v>
      </c>
      <c r="H92" s="9">
        <v>941744.39535913058</v>
      </c>
      <c r="I92" s="9">
        <v>849416.51346117666</v>
      </c>
      <c r="J92" s="9">
        <v>757088.63156322273</v>
      </c>
      <c r="K92" s="9">
        <v>664760.7496652687</v>
      </c>
      <c r="L92" s="9">
        <v>572432.86776731478</v>
      </c>
      <c r="M92" s="9">
        <v>480104.98586936074</v>
      </c>
      <c r="N92" s="9">
        <v>387777.10397140682</v>
      </c>
      <c r="O92" s="31">
        <v>1040</v>
      </c>
      <c r="P92" s="19">
        <v>225591.87933251951</v>
      </c>
      <c r="Q92" s="19">
        <v>211313.91228615752</v>
      </c>
      <c r="R92" s="19">
        <v>197035.94523979552</v>
      </c>
      <c r="S92" s="19">
        <v>182757.97819343355</v>
      </c>
      <c r="T92" s="19">
        <v>168480.01114707155</v>
      </c>
      <c r="U92" s="19">
        <v>154202.04410070955</v>
      </c>
      <c r="V92" s="19">
        <v>139924.07705434755</v>
      </c>
      <c r="W92" s="19">
        <v>125646.11000798555</v>
      </c>
    </row>
    <row r="93" spans="6:23">
      <c r="F93" s="28"/>
      <c r="G93" s="21">
        <v>770</v>
      </c>
      <c r="H93" s="9">
        <v>936532.57524817716</v>
      </c>
      <c r="I93" s="9">
        <v>846481.36608969863</v>
      </c>
      <c r="J93" s="9">
        <v>756430.15693121997</v>
      </c>
      <c r="K93" s="9">
        <v>666378.94777274143</v>
      </c>
      <c r="L93" s="9">
        <v>576327.7386142629</v>
      </c>
      <c r="M93" s="9">
        <v>486276.52945578424</v>
      </c>
      <c r="N93" s="9">
        <v>396225.32029730571</v>
      </c>
      <c r="O93" s="31">
        <v>1050</v>
      </c>
      <c r="P93" s="19">
        <v>217523.37267204796</v>
      </c>
      <c r="Q93" s="19">
        <v>203928.16188004497</v>
      </c>
      <c r="R93" s="19">
        <v>190332.95108804197</v>
      </c>
      <c r="S93" s="19">
        <v>176737.74029603897</v>
      </c>
      <c r="T93" s="19">
        <v>163142.52950403598</v>
      </c>
      <c r="U93" s="19">
        <v>149547.31871203298</v>
      </c>
      <c r="V93" s="19">
        <v>135952.10792002999</v>
      </c>
      <c r="W93" s="19">
        <v>122356.89712802699</v>
      </c>
    </row>
    <row r="94" spans="6:23">
      <c r="F94" s="28"/>
      <c r="G94" s="22">
        <v>780</v>
      </c>
      <c r="H94" s="9">
        <v>931305.15710670128</v>
      </c>
      <c r="I94" s="9">
        <v>843446.18002116343</v>
      </c>
      <c r="J94" s="9">
        <v>755587.20293562557</v>
      </c>
      <c r="K94" s="9">
        <v>667728.22585008771</v>
      </c>
      <c r="L94" s="9">
        <v>579869.24876454985</v>
      </c>
      <c r="M94" s="9">
        <v>492010.27167901199</v>
      </c>
      <c r="N94" s="9">
        <v>404151.29459347413</v>
      </c>
      <c r="O94" s="31">
        <v>1060</v>
      </c>
      <c r="P94" s="19">
        <v>209710.67136078316</v>
      </c>
      <c r="Q94" s="19">
        <v>196765.56819036446</v>
      </c>
      <c r="R94" s="19">
        <v>183820.46501994575</v>
      </c>
      <c r="S94" s="19">
        <v>170875.36184952705</v>
      </c>
      <c r="T94" s="19">
        <v>157930.25867910834</v>
      </c>
      <c r="U94" s="19">
        <v>144985.15550868961</v>
      </c>
      <c r="V94" s="19">
        <v>132040.05233827091</v>
      </c>
      <c r="W94" s="19">
        <v>119094.94916785217</v>
      </c>
    </row>
    <row r="95" spans="6:23">
      <c r="F95" s="28"/>
      <c r="G95" s="21">
        <v>790</v>
      </c>
      <c r="H95" s="9">
        <v>926067.93031304004</v>
      </c>
      <c r="I95" s="9">
        <v>840320.89972849924</v>
      </c>
      <c r="J95" s="9">
        <v>754573.86914395844</v>
      </c>
      <c r="K95" s="9">
        <v>668826.83855941775</v>
      </c>
      <c r="L95" s="9">
        <v>583079.80797487695</v>
      </c>
      <c r="M95" s="9">
        <v>497332.77739033627</v>
      </c>
      <c r="N95" s="9">
        <v>411585.74680579547</v>
      </c>
      <c r="O95" s="31">
        <v>1070</v>
      </c>
      <c r="P95" s="19">
        <v>202147.76055831707</v>
      </c>
      <c r="Q95" s="19">
        <v>189821.6775974441</v>
      </c>
      <c r="R95" s="19">
        <v>177495.59463657107</v>
      </c>
      <c r="S95" s="19">
        <v>165169.5116756981</v>
      </c>
      <c r="T95" s="19">
        <v>152843.4287148251</v>
      </c>
      <c r="U95" s="19">
        <v>140517.3457539521</v>
      </c>
      <c r="V95" s="19">
        <v>128191.26279307911</v>
      </c>
      <c r="W95" s="19">
        <v>115865.17983220614</v>
      </c>
    </row>
    <row r="96" spans="6:23">
      <c r="F96" s="28"/>
      <c r="G96" s="22">
        <v>800</v>
      </c>
      <c r="H96" s="9">
        <v>920826.1493144678</v>
      </c>
      <c r="I96" s="9">
        <v>837114.68119497062</v>
      </c>
      <c r="J96" s="9">
        <v>753403.21307547356</v>
      </c>
      <c r="K96" s="9">
        <v>669691.74495597649</v>
      </c>
      <c r="L96" s="9">
        <v>585980.27683647943</v>
      </c>
      <c r="M96" s="9">
        <v>502268.80871698249</v>
      </c>
      <c r="N96" s="9">
        <v>418557.34059748542</v>
      </c>
      <c r="O96" s="31">
        <v>1080</v>
      </c>
      <c r="P96" s="19">
        <v>194828.61573412947</v>
      </c>
      <c r="Q96" s="19">
        <v>183091.95213568793</v>
      </c>
      <c r="R96" s="19">
        <v>171355.28853724641</v>
      </c>
      <c r="S96" s="19">
        <v>159618.62493880489</v>
      </c>
      <c r="T96" s="19">
        <v>147881.96134036334</v>
      </c>
      <c r="U96" s="19">
        <v>136145.29774192179</v>
      </c>
      <c r="V96" s="19">
        <v>124408.63414348027</v>
      </c>
      <c r="W96" s="19">
        <v>112671.97054503873</v>
      </c>
    </row>
    <row r="97" spans="6:23">
      <c r="F97" s="28"/>
      <c r="G97" s="21">
        <v>810</v>
      </c>
      <c r="H97" s="9">
        <v>915584.58115576394</v>
      </c>
      <c r="I97" s="9">
        <v>833835.95783828502</v>
      </c>
      <c r="J97" s="9">
        <v>752087.33452080609</v>
      </c>
      <c r="K97" s="9">
        <v>670338.71120332717</v>
      </c>
      <c r="L97" s="9">
        <v>588590.08788584825</v>
      </c>
      <c r="M97" s="9">
        <v>506841.46456836932</v>
      </c>
      <c r="N97" s="9">
        <v>425092.8412508904</v>
      </c>
      <c r="O97" s="31">
        <v>1090</v>
      </c>
      <c r="P97" s="19">
        <v>187747.2173481303</v>
      </c>
      <c r="Q97" s="19">
        <v>176571.78774407491</v>
      </c>
      <c r="R97" s="19">
        <v>165396.35814001953</v>
      </c>
      <c r="S97" s="19">
        <v>154220.92853596417</v>
      </c>
      <c r="T97" s="19">
        <v>143045.49893190881</v>
      </c>
      <c r="U97" s="19">
        <v>131870.06932785342</v>
      </c>
      <c r="V97" s="19">
        <v>120694.63972379804</v>
      </c>
      <c r="W97" s="19">
        <v>109519.21011974267</v>
      </c>
    </row>
    <row r="98" spans="6:23">
      <c r="F98" s="28"/>
      <c r="G98" s="22">
        <v>820</v>
      </c>
      <c r="H98" s="9">
        <v>910347.54850586841</v>
      </c>
      <c r="I98" s="9">
        <v>830492.50039131858</v>
      </c>
      <c r="J98" s="9">
        <v>750637.45227676874</v>
      </c>
      <c r="K98" s="9">
        <v>670782.40416221879</v>
      </c>
      <c r="L98" s="9">
        <v>590927.35604766896</v>
      </c>
      <c r="M98" s="9">
        <v>511072.30793311913</v>
      </c>
      <c r="N98" s="9">
        <v>431217.25981856929</v>
      </c>
      <c r="O98" s="31">
        <v>1100</v>
      </c>
      <c r="P98" s="19">
        <v>180897.56414934466</v>
      </c>
      <c r="Q98" s="19">
        <v>170256.53096408909</v>
      </c>
      <c r="R98" s="19">
        <v>159615.49777883352</v>
      </c>
      <c r="S98" s="19">
        <v>148974.46459357796</v>
      </c>
      <c r="T98" s="19">
        <v>138333.43140832239</v>
      </c>
      <c r="U98" s="19">
        <v>127692.39822306682</v>
      </c>
      <c r="V98" s="19">
        <v>117051.36503781125</v>
      </c>
      <c r="W98" s="19">
        <v>106410.33185255568</v>
      </c>
    </row>
    <row r="99" spans="6:23">
      <c r="F99" s="28"/>
      <c r="G99" s="21">
        <v>830</v>
      </c>
      <c r="H99" s="9">
        <v>905118.96864597406</v>
      </c>
      <c r="I99" s="9">
        <v>827091.47134890733</v>
      </c>
      <c r="J99" s="9">
        <v>749063.9740518406</v>
      </c>
      <c r="K99" s="9">
        <v>671036.47675477387</v>
      </c>
      <c r="L99" s="9">
        <v>593008.97945770703</v>
      </c>
      <c r="M99" s="9">
        <v>514981.4821606403</v>
      </c>
      <c r="N99" s="9">
        <v>436953.98486357357</v>
      </c>
      <c r="O99" s="31">
        <v>1110</v>
      </c>
      <c r="P99" s="19">
        <v>174273.68519132983</v>
      </c>
      <c r="Q99" s="19">
        <v>164141.49419183392</v>
      </c>
      <c r="R99" s="19">
        <v>154009.30319233797</v>
      </c>
      <c r="S99" s="19">
        <v>143877.11219284206</v>
      </c>
      <c r="T99" s="19">
        <v>133744.92119334615</v>
      </c>
      <c r="U99" s="19">
        <v>123612.73019385022</v>
      </c>
      <c r="V99" s="19">
        <v>113480.53919435431</v>
      </c>
      <c r="W99" s="19">
        <v>103348.34819485839</v>
      </c>
    </row>
    <row r="100" spans="6:23">
      <c r="F100" s="28"/>
      <c r="G100" s="22">
        <v>840</v>
      </c>
      <c r="H100" s="9">
        <v>899902.38883068995</v>
      </c>
      <c r="I100" s="9">
        <v>823639.47452300438</v>
      </c>
      <c r="J100" s="9">
        <v>747376.56021531869</v>
      </c>
      <c r="K100" s="9">
        <v>671113.64590763312</v>
      </c>
      <c r="L100" s="9">
        <v>594850.73159994755</v>
      </c>
      <c r="M100" s="9">
        <v>518587.81729226199</v>
      </c>
      <c r="N100" s="9">
        <v>442324.90298457642</v>
      </c>
      <c r="O100" s="31">
        <v>1120</v>
      </c>
      <c r="P100" s="19">
        <v>167869.65065664635</v>
      </c>
      <c r="Q100" s="19">
        <v>158221.9695844253</v>
      </c>
      <c r="R100" s="19">
        <v>148574.28851220425</v>
      </c>
      <c r="S100" s="19">
        <v>138926.6074399832</v>
      </c>
      <c r="T100" s="19">
        <v>129278.92636776213</v>
      </c>
      <c r="U100" s="19">
        <v>119631.24529554108</v>
      </c>
      <c r="V100" s="19">
        <v>109983.56422332003</v>
      </c>
      <c r="W100" s="19">
        <v>100335.88315109898</v>
      </c>
    </row>
    <row r="101" spans="6:23">
      <c r="F101" s="28"/>
      <c r="G101" s="21">
        <v>850</v>
      </c>
      <c r="H101" s="9">
        <v>894701.0183881179</v>
      </c>
      <c r="I101" s="9">
        <v>820142.60018910805</v>
      </c>
      <c r="J101" s="9">
        <v>745584.18199009821</v>
      </c>
      <c r="K101" s="9">
        <v>671025.76379108836</v>
      </c>
      <c r="L101" s="9">
        <v>596467.34559207852</v>
      </c>
      <c r="M101" s="9">
        <v>521908.92739306868</v>
      </c>
      <c r="N101" s="9">
        <v>447350.50919405895</v>
      </c>
      <c r="O101" s="31">
        <v>1130</v>
      </c>
      <c r="P101" s="19">
        <v>161679.58157680248</v>
      </c>
      <c r="Q101" s="19">
        <v>152493.24171448417</v>
      </c>
      <c r="R101" s="19">
        <v>143306.90185216584</v>
      </c>
      <c r="S101" s="19">
        <v>134120.56198984751</v>
      </c>
      <c r="T101" s="19">
        <v>124934.2221275292</v>
      </c>
      <c r="U101" s="19">
        <v>115747.88226521088</v>
      </c>
      <c r="V101" s="19">
        <v>106561.54240289255</v>
      </c>
      <c r="W101" s="19">
        <v>97375.202540574232</v>
      </c>
    </row>
    <row r="102" spans="6:23">
      <c r="F102" s="28"/>
      <c r="G102" s="22">
        <v>860</v>
      </c>
      <c r="H102" s="9">
        <v>889517.75788474327</v>
      </c>
      <c r="I102" s="9">
        <v>816606.46625484619</v>
      </c>
      <c r="J102" s="9">
        <v>743695.17462494923</v>
      </c>
      <c r="K102" s="9">
        <v>670783.88299505226</v>
      </c>
      <c r="L102" s="9">
        <v>597872.5913651553</v>
      </c>
      <c r="M102" s="9">
        <v>524961.29973525833</v>
      </c>
      <c r="N102" s="9">
        <v>452050.00810536125</v>
      </c>
      <c r="O102" s="31">
        <v>1140</v>
      </c>
      <c r="P102" s="19">
        <v>155697.65852856074</v>
      </c>
      <c r="Q102" s="19">
        <v>146950.59906066407</v>
      </c>
      <c r="R102" s="19">
        <v>138203.53959276743</v>
      </c>
      <c r="S102" s="19">
        <v>129456.48012487074</v>
      </c>
      <c r="T102" s="19">
        <v>120709.42065697406</v>
      </c>
      <c r="U102" s="19">
        <v>111962.36118907739</v>
      </c>
      <c r="V102" s="19">
        <v>103215.30172118072</v>
      </c>
      <c r="W102" s="19">
        <v>94468.242253284043</v>
      </c>
    </row>
    <row r="103" spans="6:23">
      <c r="F103" s="28"/>
      <c r="G103" s="21">
        <v>870</v>
      </c>
      <c r="H103" s="9">
        <v>884355.2256455092</v>
      </c>
      <c r="I103" s="9">
        <v>813036.25583538751</v>
      </c>
      <c r="J103" s="9">
        <v>741717.28602526581</v>
      </c>
      <c r="K103" s="9">
        <v>670398.31621514412</v>
      </c>
      <c r="L103" s="9">
        <v>599079.34640502243</v>
      </c>
      <c r="M103" s="9">
        <v>527760.37659490062</v>
      </c>
      <c r="N103" s="9">
        <v>456441.40678477893</v>
      </c>
      <c r="O103" s="31">
        <v>1150</v>
      </c>
      <c r="P103" s="19">
        <v>149918.12938227336</v>
      </c>
      <c r="Q103" s="19">
        <v>141589.34441659148</v>
      </c>
      <c r="R103" s="19">
        <v>133260.55945090964</v>
      </c>
      <c r="S103" s="19">
        <v>124931.77448522778</v>
      </c>
      <c r="T103" s="19">
        <v>116602.98951954594</v>
      </c>
      <c r="U103" s="19">
        <v>108274.20455386408</v>
      </c>
      <c r="V103" s="19">
        <v>99945.419588182223</v>
      </c>
      <c r="W103" s="19">
        <v>91616.63462250038</v>
      </c>
    </row>
    <row r="104" spans="6:23">
      <c r="F104" s="28"/>
      <c r="G104" s="22">
        <v>880</v>
      </c>
      <c r="H104" s="9">
        <v>879215.7818883853</v>
      </c>
      <c r="I104" s="9">
        <v>809436.75157978327</v>
      </c>
      <c r="J104" s="9">
        <v>739657.72127118125</v>
      </c>
      <c r="K104" s="9">
        <v>669878.69096257922</v>
      </c>
      <c r="L104" s="9">
        <v>600099.66065397719</v>
      </c>
      <c r="M104" s="9">
        <v>530320.63034537516</v>
      </c>
      <c r="N104" s="9">
        <v>460541.60003677325</v>
      </c>
      <c r="O104" s="31">
        <v>1160</v>
      </c>
      <c r="P104" s="19">
        <v>144335.31617302739</v>
      </c>
      <c r="Q104" s="19">
        <v>136404.80429538852</v>
      </c>
      <c r="R104" s="19">
        <v>128474.29241774965</v>
      </c>
      <c r="S104" s="19">
        <v>120543.78054011078</v>
      </c>
      <c r="T104" s="19">
        <v>112613.26866247191</v>
      </c>
      <c r="U104" s="19">
        <v>104682.75678483304</v>
      </c>
      <c r="V104" s="19">
        <v>96752.244907194166</v>
      </c>
      <c r="W104" s="19">
        <v>88821.733029555311</v>
      </c>
    </row>
    <row r="105" spans="6:23">
      <c r="F105" s="28"/>
      <c r="G105" s="21">
        <v>890</v>
      </c>
      <c r="H105" s="9">
        <v>874101.55070503871</v>
      </c>
      <c r="I105" s="9">
        <v>805812.3670562075</v>
      </c>
      <c r="J105" s="9">
        <v>737523.1834073764</v>
      </c>
      <c r="K105" s="9">
        <v>669233.99975854531</v>
      </c>
      <c r="L105" s="9">
        <v>600944.8161097141</v>
      </c>
      <c r="M105" s="9">
        <v>532655.632460883</v>
      </c>
      <c r="N105" s="9">
        <v>464366.44881205179</v>
      </c>
      <c r="O105" s="31">
        <v>1170</v>
      </c>
      <c r="P105" s="19">
        <v>138943.62116077167</v>
      </c>
      <c r="Q105" s="19">
        <v>131392.33740203409</v>
      </c>
      <c r="R105" s="19">
        <v>123841.05364329649</v>
      </c>
      <c r="S105" s="19">
        <v>116289.76988455889</v>
      </c>
      <c r="T105" s="19">
        <v>108738.48612582131</v>
      </c>
      <c r="U105" s="19">
        <v>101187.20236708372</v>
      </c>
      <c r="V105" s="19">
        <v>93635.918608346125</v>
      </c>
      <c r="W105" s="19">
        <v>86084.634849608541</v>
      </c>
    </row>
    <row r="106" spans="6:23">
      <c r="F106" s="28"/>
      <c r="G106" s="22">
        <v>900</v>
      </c>
      <c r="H106" s="9">
        <v>869014.44009492756</v>
      </c>
      <c r="I106" s="9">
        <v>802167.17547224078</v>
      </c>
      <c r="J106" s="9">
        <v>735319.910849554</v>
      </c>
      <c r="K106" s="9">
        <v>668472.64622686733</v>
      </c>
      <c r="L106" s="9">
        <v>601625.38160418055</v>
      </c>
      <c r="M106" s="9">
        <v>534778.11698149389</v>
      </c>
      <c r="N106" s="9">
        <v>467930.85235880711</v>
      </c>
      <c r="O106" s="31">
        <v>1180</v>
      </c>
      <c r="P106" s="19">
        <v>133737.53214127832</v>
      </c>
      <c r="Q106" s="19">
        <v>126547.34224120961</v>
      </c>
      <c r="R106" s="19">
        <v>119357.15234114087</v>
      </c>
      <c r="S106" s="19">
        <v>112166.96244107214</v>
      </c>
      <c r="T106" s="19">
        <v>104976.77254100342</v>
      </c>
      <c r="U106" s="19">
        <v>97786.582640934692</v>
      </c>
      <c r="V106" s="19">
        <v>90596.392740865966</v>
      </c>
      <c r="W106" s="19">
        <v>83406.202840797239</v>
      </c>
    </row>
    <row r="107" spans="6:23">
      <c r="F107" s="28"/>
      <c r="G107" s="21">
        <v>910</v>
      </c>
      <c r="H107" s="9">
        <v>863956.16023840313</v>
      </c>
      <c r="I107" s="9">
        <v>798504.9359779181</v>
      </c>
      <c r="J107" s="9">
        <v>733053.71171743295</v>
      </c>
      <c r="K107" s="9">
        <v>667602.4874569478</v>
      </c>
      <c r="L107" s="9">
        <v>602151.26319646277</v>
      </c>
      <c r="M107" s="9">
        <v>536700.03893597773</v>
      </c>
      <c r="N107" s="9">
        <v>471248.81467549258</v>
      </c>
      <c r="O107" s="31">
        <v>1190</v>
      </c>
      <c r="P107" s="19">
        <v>128711.62706573145</v>
      </c>
      <c r="Q107" s="19">
        <v>121865.26392393721</v>
      </c>
      <c r="R107" s="19">
        <v>115018.90078214298</v>
      </c>
      <c r="S107" s="19">
        <v>108172.53764034876</v>
      </c>
      <c r="T107" s="19">
        <v>101326.17449855454</v>
      </c>
      <c r="U107" s="19">
        <v>94479.811356760314</v>
      </c>
      <c r="V107" s="19">
        <v>87633.448214966091</v>
      </c>
      <c r="W107" s="19">
        <v>80787.085073171853</v>
      </c>
    </row>
    <row r="108" spans="6:23">
      <c r="F108" s="28"/>
      <c r="G108" s="22">
        <v>920</v>
      </c>
      <c r="H108" s="9">
        <v>858928.24017532123</v>
      </c>
      <c r="I108" s="9">
        <v>794829.11777417781</v>
      </c>
      <c r="J108" s="9">
        <v>730729.99537303438</v>
      </c>
      <c r="K108" s="9">
        <v>666630.87297189108</v>
      </c>
      <c r="L108" s="9">
        <v>602531.75057074765</v>
      </c>
      <c r="M108" s="9">
        <v>538432.62816960434</v>
      </c>
      <c r="N108" s="9">
        <v>474333.50576846092</v>
      </c>
      <c r="O108" s="31">
        <v>1200</v>
      </c>
      <c r="P108" s="19">
        <v>123860.57802291673</v>
      </c>
      <c r="Q108" s="19">
        <v>117341.6002322369</v>
      </c>
      <c r="R108" s="19">
        <v>110822.62244155706</v>
      </c>
      <c r="S108" s="19">
        <v>104303.64465087725</v>
      </c>
      <c r="T108" s="19">
        <v>97784.666860197409</v>
      </c>
      <c r="U108" s="19">
        <v>91265.689069517597</v>
      </c>
      <c r="V108" s="19">
        <v>84746.711278837756</v>
      </c>
      <c r="W108" s="19">
        <v>78227.73348815793</v>
      </c>
    </row>
    <row r="109" spans="6:23">
      <c r="F109" s="28"/>
      <c r="G109" s="21">
        <v>930</v>
      </c>
      <c r="H109" s="9">
        <v>853932.04303858522</v>
      </c>
      <c r="I109" s="9">
        <v>791142.92222692457</v>
      </c>
      <c r="J109" s="9">
        <v>728353.80141526391</v>
      </c>
      <c r="K109" s="9">
        <v>665564.68060360313</v>
      </c>
      <c r="L109" s="9">
        <v>602775.55979194248</v>
      </c>
      <c r="M109" s="9">
        <v>539986.43898028182</v>
      </c>
      <c r="N109" s="9">
        <v>477197.31816862116</v>
      </c>
      <c r="O109" s="31">
        <v>1210</v>
      </c>
      <c r="P109" s="19">
        <v>119179.15463441251</v>
      </c>
      <c r="Q109" s="19">
        <v>112971.90699720354</v>
      </c>
      <c r="R109" s="19">
        <v>106764.65935999455</v>
      </c>
      <c r="S109" s="19">
        <v>100557.41172278556</v>
      </c>
      <c r="T109" s="19">
        <v>94350.164085576573</v>
      </c>
      <c r="U109" s="19">
        <v>88142.916448367585</v>
      </c>
      <c r="V109" s="19">
        <v>81935.668811158597</v>
      </c>
      <c r="W109" s="19">
        <v>75728.421173949624</v>
      </c>
    </row>
    <row r="110" spans="6:23">
      <c r="F110" s="28"/>
      <c r="G110" s="22">
        <v>940</v>
      </c>
      <c r="H110" s="9">
        <v>848968.77997684898</v>
      </c>
      <c r="I110" s="9">
        <v>787449.30316693243</v>
      </c>
      <c r="J110" s="9">
        <v>725929.82635701587</v>
      </c>
      <c r="K110" s="9">
        <v>664410.34954709932</v>
      </c>
      <c r="L110" s="9">
        <v>602890.87273718265</v>
      </c>
      <c r="M110" s="9">
        <v>541371.3959272661</v>
      </c>
      <c r="N110" s="9">
        <v>479851.91911734943</v>
      </c>
      <c r="O110" s="31">
        <v>1220</v>
      </c>
      <c r="P110" s="19">
        <v>114662.22690981087</v>
      </c>
      <c r="Q110" s="19">
        <v>108751.80284229484</v>
      </c>
      <c r="R110" s="19">
        <v>102841.37877477882</v>
      </c>
      <c r="S110" s="19">
        <v>96930.95470726279</v>
      </c>
      <c r="T110" s="19">
        <v>91020.530639746765</v>
      </c>
      <c r="U110" s="19">
        <v>85110.106572230754</v>
      </c>
      <c r="V110" s="19">
        <v>79199.682504714729</v>
      </c>
      <c r="W110" s="19">
        <v>73289.258437198703</v>
      </c>
    </row>
    <row r="111" spans="6:23">
      <c r="F111" s="28"/>
      <c r="G111" s="21">
        <v>950</v>
      </c>
      <c r="H111" s="9">
        <v>844039.52288722177</v>
      </c>
      <c r="I111" s="9">
        <v>783750.98553813458</v>
      </c>
      <c r="J111" s="9">
        <v>723462.44818904717</v>
      </c>
      <c r="K111" s="9">
        <v>663173.91083995998</v>
      </c>
      <c r="L111" s="9">
        <v>602885.37349087268</v>
      </c>
      <c r="M111" s="9">
        <v>542596.83614178537</v>
      </c>
      <c r="N111" s="9">
        <v>482308.29879269807</v>
      </c>
      <c r="O111" s="31">
        <v>1230</v>
      </c>
      <c r="P111" s="19">
        <v>110304.76760585091</v>
      </c>
      <c r="Q111" s="19">
        <v>104676.97334024627</v>
      </c>
      <c r="R111" s="19">
        <v>99049.179074641623</v>
      </c>
      <c r="S111" s="19">
        <v>93421.384809036987</v>
      </c>
      <c r="T111" s="19">
        <v>87793.59054343235</v>
      </c>
      <c r="U111" s="19">
        <v>82165.796277827714</v>
      </c>
      <c r="V111" s="19">
        <v>76538.002012223078</v>
      </c>
      <c r="W111" s="19">
        <v>70910.207746618442</v>
      </c>
    </row>
    <row r="112" spans="6:23">
      <c r="F112" s="28"/>
      <c r="G112" s="22">
        <v>960</v>
      </c>
      <c r="H112" s="9">
        <v>839145.21606666408</v>
      </c>
      <c r="I112" s="9">
        <v>780050.48254084273</v>
      </c>
      <c r="J112" s="9">
        <v>720955.74901502137</v>
      </c>
      <c r="K112" s="9">
        <v>661861.0154891999</v>
      </c>
      <c r="L112" s="9">
        <v>602766.28196337854</v>
      </c>
      <c r="M112" s="9">
        <v>543671.54843755707</v>
      </c>
      <c r="N112" s="9">
        <v>484576.81491173571</v>
      </c>
      <c r="O112" s="31">
        <v>1240</v>
      </c>
      <c r="P112" s="19">
        <v>106101.85413037703</v>
      </c>
      <c r="Q112" s="19">
        <v>100743.17462884285</v>
      </c>
      <c r="R112" s="19">
        <v>95384.495127308648</v>
      </c>
      <c r="S112" s="19">
        <v>90025.81562577447</v>
      </c>
      <c r="T112" s="19">
        <v>84667.136124240264</v>
      </c>
      <c r="U112" s="19">
        <v>79308.456622706071</v>
      </c>
      <c r="V112" s="19">
        <v>73949.777121171879</v>
      </c>
      <c r="W112" s="19">
        <v>68591.097619637687</v>
      </c>
    </row>
    <row r="113" spans="6:23">
      <c r="F113" s="28"/>
      <c r="G113" s="21">
        <v>970</v>
      </c>
      <c r="H113" s="9">
        <v>834286.68688012753</v>
      </c>
      <c r="I113" s="9">
        <v>776350.11140234093</v>
      </c>
      <c r="J113" s="9">
        <v>718413.53592455422</v>
      </c>
      <c r="K113" s="9">
        <v>660476.96044676763</v>
      </c>
      <c r="L113" s="9">
        <v>602540.38496898091</v>
      </c>
      <c r="M113" s="9">
        <v>544603.80949119432</v>
      </c>
      <c r="N113" s="9">
        <v>486667.23401340772</v>
      </c>
      <c r="O113" s="31">
        <v>1250</v>
      </c>
      <c r="P113" s="19">
        <v>102048.67002926096</v>
      </c>
      <c r="Q113" s="19">
        <v>96946.236527797912</v>
      </c>
      <c r="R113" s="19">
        <v>91843.803026334877</v>
      </c>
      <c r="S113" s="19">
        <v>86741.369524871814</v>
      </c>
      <c r="T113" s="19">
        <v>81638.93602340878</v>
      </c>
      <c r="U113" s="19">
        <v>76536.502521945717</v>
      </c>
      <c r="V113" s="19">
        <v>71434.069020482682</v>
      </c>
      <c r="W113" s="19">
        <v>66331.635519019619</v>
      </c>
    </row>
    <row r="114" spans="6:23">
      <c r="F114" s="28"/>
      <c r="G114" s="22">
        <v>980</v>
      </c>
      <c r="H114" s="9">
        <v>829464.65553385997</v>
      </c>
      <c r="I114" s="9">
        <v>772652.00789455441</v>
      </c>
      <c r="J114" s="9">
        <v>715839.36025524908</v>
      </c>
      <c r="K114" s="9">
        <v>659026.71261594351</v>
      </c>
      <c r="L114" s="9">
        <v>602214.06497663807</v>
      </c>
      <c r="M114" s="9">
        <v>545401.41733733262</v>
      </c>
      <c r="N114" s="9">
        <v>488588.76969802706</v>
      </c>
      <c r="O114" s="31">
        <v>1260</v>
      </c>
      <c r="P114" s="19">
        <v>98140.506091818621</v>
      </c>
      <c r="Q114" s="19">
        <v>93282.065196184034</v>
      </c>
      <c r="R114" s="19">
        <v>88423.624300549447</v>
      </c>
      <c r="S114" s="19">
        <v>83565.18340491486</v>
      </c>
      <c r="T114" s="19">
        <v>78706.742509280273</v>
      </c>
      <c r="U114" s="19">
        <v>73848.301613645686</v>
      </c>
      <c r="V114" s="19">
        <v>68989.860718011099</v>
      </c>
      <c r="W114" s="19">
        <v>64131.419822376527</v>
      </c>
    </row>
    <row r="115" spans="6:23">
      <c r="F115" s="28"/>
      <c r="G115" s="21">
        <v>990</v>
      </c>
      <c r="H115" s="9">
        <v>824679.74403371383</v>
      </c>
      <c r="I115" s="9">
        <v>768958.13970711164</v>
      </c>
      <c r="J115" s="9">
        <v>713236.53538050933</v>
      </c>
      <c r="K115" s="9">
        <v>657514.93105390703</v>
      </c>
      <c r="L115" s="9">
        <v>601793.32672730472</v>
      </c>
      <c r="M115" s="9">
        <v>546071.72240070242</v>
      </c>
      <c r="N115" s="9">
        <v>490350.11807410012</v>
      </c>
      <c r="O115" s="31">
        <v>1270</v>
      </c>
      <c r="P115" s="19">
        <v>94372.761107806582</v>
      </c>
      <c r="Q115" s="19">
        <v>89746.645367227815</v>
      </c>
      <c r="R115" s="19">
        <v>85120.529626649077</v>
      </c>
      <c r="S115" s="19">
        <v>80494.41388607031</v>
      </c>
      <c r="T115" s="19">
        <v>75868.298145491572</v>
      </c>
      <c r="U115" s="19">
        <v>71242.182404912804</v>
      </c>
      <c r="V115" s="19">
        <v>66616.066664334052</v>
      </c>
      <c r="W115" s="19">
        <v>61989.950923755299</v>
      </c>
    </row>
    <row r="116" spans="6:23">
      <c r="F116" s="28"/>
      <c r="G116" s="22">
        <v>1000</v>
      </c>
      <c r="H116" s="9">
        <v>819932.48440064141</v>
      </c>
      <c r="I116" s="9">
        <v>765270.31877393206</v>
      </c>
      <c r="J116" s="9">
        <v>710608.15314722259</v>
      </c>
      <c r="K116" s="9">
        <v>655945.98752051312</v>
      </c>
      <c r="L116" s="9">
        <v>601283.82189380378</v>
      </c>
      <c r="M116" s="9">
        <v>546621.65626709431</v>
      </c>
      <c r="N116" s="9">
        <v>491959.49064038484</v>
      </c>
      <c r="O116" s="31">
        <v>1280</v>
      </c>
      <c r="P116" s="19">
        <v>90740.942306794401</v>
      </c>
      <c r="Q116" s="19">
        <v>86336.042194814101</v>
      </c>
      <c r="R116" s="19">
        <v>81931.142082833787</v>
      </c>
      <c r="S116" s="19">
        <v>77526.241970853473</v>
      </c>
      <c r="T116" s="19">
        <v>73121.341858873158</v>
      </c>
      <c r="U116" s="19">
        <v>68716.441746892844</v>
      </c>
      <c r="V116" s="19">
        <v>64311.541634912537</v>
      </c>
      <c r="W116" s="19">
        <v>59906.64152293223</v>
      </c>
    </row>
    <row r="117" spans="6:23">
      <c r="F117" s="28"/>
      <c r="G117" s="21">
        <v>1010</v>
      </c>
      <c r="H117" s="9">
        <v>815223.32620865176</v>
      </c>
      <c r="I117" s="9">
        <v>761590.21264229307</v>
      </c>
      <c r="J117" s="9">
        <v>707957.09907593438</v>
      </c>
      <c r="K117" s="9">
        <v>654323.98550957581</v>
      </c>
      <c r="L117" s="9">
        <v>600690.871943217</v>
      </c>
      <c r="M117" s="9">
        <v>547057.75837685843</v>
      </c>
      <c r="N117" s="9">
        <v>493424.64481049974</v>
      </c>
      <c r="O117" s="31">
        <v>1290</v>
      </c>
      <c r="P117" s="19">
        <v>87240.6655085573</v>
      </c>
      <c r="Q117" s="19">
        <v>83046.402743722807</v>
      </c>
      <c r="R117" s="19">
        <v>78852.139978888328</v>
      </c>
      <c r="S117" s="19">
        <v>74657.877214053849</v>
      </c>
      <c r="T117" s="19">
        <v>70463.614449219356</v>
      </c>
      <c r="U117" s="19">
        <v>66269.351684384863</v>
      </c>
      <c r="V117" s="19">
        <v>62075.088919550384</v>
      </c>
      <c r="W117" s="19">
        <v>57880.826154715898</v>
      </c>
    </row>
    <row r="118" spans="6:23">
      <c r="F118" s="28"/>
      <c r="G118" s="22">
        <v>1020</v>
      </c>
      <c r="H118" s="9">
        <v>810552.64350436372</v>
      </c>
      <c r="I118" s="9">
        <v>757919.35496511939</v>
      </c>
      <c r="J118" s="9">
        <v>705286.06642587506</v>
      </c>
      <c r="K118" s="9">
        <v>652652.77788663062</v>
      </c>
      <c r="L118" s="9">
        <v>600019.48934738617</v>
      </c>
      <c r="M118" s="9">
        <v>547386.20080814173</v>
      </c>
      <c r="N118" s="9">
        <v>494752.9122688974</v>
      </c>
      <c r="O118" s="31">
        <v>1300</v>
      </c>
      <c r="P118" s="19">
        <v>83867.65501112194</v>
      </c>
      <c r="Q118" s="19">
        <v>79873.957153449475</v>
      </c>
      <c r="R118" s="19">
        <v>75880.259295776996</v>
      </c>
      <c r="S118" s="19">
        <v>71886.561438104516</v>
      </c>
      <c r="T118" s="19">
        <v>67892.863580432051</v>
      </c>
      <c r="U118" s="19">
        <v>63899.165722759579</v>
      </c>
      <c r="V118" s="19">
        <v>59905.467865087099</v>
      </c>
      <c r="W118" s="19">
        <v>55911.770007414627</v>
      </c>
    </row>
    <row r="119" spans="6:23">
      <c r="F119" s="28"/>
      <c r="G119" s="21">
        <v>1030</v>
      </c>
      <c r="H119" s="9">
        <v>805920.74116169289</v>
      </c>
      <c r="I119" s="9">
        <v>754259.15518978948</v>
      </c>
      <c r="J119" s="9">
        <v>702597.56921788608</v>
      </c>
      <c r="K119" s="9">
        <v>650935.98324598267</v>
      </c>
      <c r="L119" s="9">
        <v>599274.39727407927</v>
      </c>
      <c r="M119" s="9">
        <v>547612.81130217598</v>
      </c>
      <c r="N119" s="9">
        <v>495951.22533027257</v>
      </c>
      <c r="O119" s="31">
        <v>1310</v>
      </c>
      <c r="P119" s="19">
        <v>80617.743241213189</v>
      </c>
      <c r="Q119" s="19">
        <v>76815.019503420117</v>
      </c>
      <c r="R119" s="19">
        <v>73012.29576562703</v>
      </c>
      <c r="S119" s="19">
        <v>69209.572027833958</v>
      </c>
      <c r="T119" s="19">
        <v>65406.848290040885</v>
      </c>
      <c r="U119" s="19">
        <v>61604.124552247813</v>
      </c>
      <c r="V119" s="19">
        <v>57801.400814454741</v>
      </c>
      <c r="W119" s="19">
        <v>53998.677076661661</v>
      </c>
    </row>
    <row r="120" spans="6:23">
      <c r="F120" s="28"/>
      <c r="G120" s="22">
        <v>1040</v>
      </c>
      <c r="H120" s="9">
        <v>801327.86072028184</v>
      </c>
      <c r="I120" s="9">
        <v>750610.90751013742</v>
      </c>
      <c r="J120" s="9">
        <v>699893.954299993</v>
      </c>
      <c r="K120" s="9">
        <v>649177.00108984858</v>
      </c>
      <c r="L120" s="9">
        <v>598460.04787970416</v>
      </c>
      <c r="M120" s="9">
        <v>547743.09466955974</v>
      </c>
      <c r="N120" s="9">
        <v>497026.14145941532</v>
      </c>
      <c r="O120" s="31">
        <v>1320</v>
      </c>
      <c r="P120" s="19">
        <v>77486.870190078989</v>
      </c>
      <c r="Q120" s="19">
        <v>73865.988405495853</v>
      </c>
      <c r="R120" s="19">
        <v>70245.106620912731</v>
      </c>
      <c r="S120" s="19">
        <v>66624.224836329595</v>
      </c>
      <c r="T120" s="19">
        <v>63003.343051746466</v>
      </c>
      <c r="U120" s="19">
        <v>59382.461267163337</v>
      </c>
      <c r="V120" s="19">
        <v>55761.579482580208</v>
      </c>
      <c r="W120" s="19">
        <v>52140.697697997079</v>
      </c>
    </row>
    <row r="121" spans="6:23">
      <c r="F121" s="28"/>
      <c r="G121" s="21">
        <v>1050</v>
      </c>
      <c r="H121" s="9">
        <v>796774.18575175316</v>
      </c>
      <c r="I121" s="9">
        <v>746975.79914226849</v>
      </c>
      <c r="J121" s="9">
        <v>697177.41253278404</v>
      </c>
      <c r="K121" s="9">
        <v>647379.02592329937</v>
      </c>
      <c r="L121" s="9">
        <v>597580.63931381493</v>
      </c>
      <c r="M121" s="9">
        <v>547782.25270433025</v>
      </c>
      <c r="N121" s="9">
        <v>497983.8660948457</v>
      </c>
      <c r="O121" s="31">
        <v>1330</v>
      </c>
      <c r="P121" s="19">
        <v>74471.082656020677</v>
      </c>
      <c r="Q121" s="19">
        <v>71023.347347871575</v>
      </c>
      <c r="R121" s="19">
        <v>67575.612039722459</v>
      </c>
      <c r="S121" s="19">
        <v>64127.876731573357</v>
      </c>
      <c r="T121" s="19">
        <v>60680.141423424255</v>
      </c>
      <c r="U121" s="19">
        <v>57232.406115275146</v>
      </c>
      <c r="V121" s="19">
        <v>53784.670807126044</v>
      </c>
      <c r="W121" s="19">
        <v>50336.935498976934</v>
      </c>
    </row>
    <row r="122" spans="6:23">
      <c r="F122" s="28"/>
      <c r="G122" s="22">
        <v>1060</v>
      </c>
      <c r="H122" s="9">
        <v>792259.84679385356</v>
      </c>
      <c r="I122" s="9">
        <v>743354.91797941807</v>
      </c>
      <c r="J122" s="9">
        <v>694449.98916498269</v>
      </c>
      <c r="K122" s="9">
        <v>645545.06035054731</v>
      </c>
      <c r="L122" s="9">
        <v>596640.13153611193</v>
      </c>
      <c r="M122" s="9">
        <v>547735.20272167656</v>
      </c>
      <c r="N122" s="9">
        <v>498830.27390724118</v>
      </c>
      <c r="O122" s="31">
        <v>1340</v>
      </c>
      <c r="P122" s="19">
        <v>71566.533313403459</v>
      </c>
      <c r="Q122" s="19">
        <v>68283.664812788629</v>
      </c>
      <c r="R122" s="19">
        <v>65000.796312173785</v>
      </c>
      <c r="S122" s="19">
        <v>61717.927811558955</v>
      </c>
      <c r="T122" s="19">
        <v>58435.059310944111</v>
      </c>
      <c r="U122" s="19">
        <v>55152.190810329274</v>
      </c>
      <c r="V122" s="19">
        <v>51869.322309714436</v>
      </c>
      <c r="W122" s="19">
        <v>48586.453809099599</v>
      </c>
    </row>
    <row r="123" spans="6:23">
      <c r="F123" s="28"/>
      <c r="G123" s="21">
        <v>1070</v>
      </c>
      <c r="H123" s="9">
        <v>787784.92588890321</v>
      </c>
      <c r="I123" s="9">
        <v>739749.25967616518</v>
      </c>
      <c r="J123" s="9">
        <v>691713.59346342715</v>
      </c>
      <c r="K123" s="9">
        <v>643677.92725068913</v>
      </c>
      <c r="L123" s="9">
        <v>595642.2610379511</v>
      </c>
      <c r="M123" s="9">
        <v>547606.59482521319</v>
      </c>
      <c r="N123" s="9">
        <v>499570.92861247517</v>
      </c>
      <c r="O123" s="31">
        <v>1350</v>
      </c>
      <c r="P123" s="19">
        <v>68769.479626475571</v>
      </c>
      <c r="Q123" s="19">
        <v>65643.594188908493</v>
      </c>
      <c r="R123" s="19">
        <v>62517.708751341423</v>
      </c>
      <c r="S123" s="19">
        <v>59391.823313774352</v>
      </c>
      <c r="T123" s="19">
        <v>56265.937876207281</v>
      </c>
      <c r="U123" s="19">
        <v>53140.05243864021</v>
      </c>
      <c r="V123" s="19">
        <v>50014.16700107314</v>
      </c>
      <c r="W123" s="19">
        <v>46888.281563506069</v>
      </c>
    </row>
    <row r="124" spans="6:23">
      <c r="F124" s="28"/>
      <c r="G124" s="22">
        <v>1080</v>
      </c>
      <c r="H124" s="9">
        <v>783349.46075967199</v>
      </c>
      <c r="I124" s="9">
        <v>736159.73420788441</v>
      </c>
      <c r="J124" s="9">
        <v>688970.00765609695</v>
      </c>
      <c r="K124" s="9">
        <v>641780.28110430948</v>
      </c>
      <c r="L124" s="9">
        <v>594590.55455252202</v>
      </c>
      <c r="M124" s="9">
        <v>547400.82800073456</v>
      </c>
      <c r="N124" s="9">
        <v>500211.1014489471</v>
      </c>
      <c r="O124" s="31">
        <v>1360</v>
      </c>
      <c r="P124" s="19">
        <v>66076.28262496597</v>
      </c>
      <c r="Q124" s="19">
        <v>63099.873497715256</v>
      </c>
      <c r="R124" s="19">
        <v>60123.464370464542</v>
      </c>
      <c r="S124" s="19">
        <v>57147.055243213821</v>
      </c>
      <c r="T124" s="19">
        <v>54170.6461159631</v>
      </c>
      <c r="U124" s="19">
        <v>51194.236988712379</v>
      </c>
      <c r="V124" s="19">
        <v>48217.827861461657</v>
      </c>
      <c r="W124" s="19">
        <v>45241.418734210936</v>
      </c>
    </row>
    <row r="125" spans="6:23">
      <c r="F125" s="28"/>
      <c r="G125" s="21">
        <v>1090</v>
      </c>
      <c r="H125" s="9">
        <v>778953.44865286979</v>
      </c>
      <c r="I125" s="9">
        <v>732587.17194734188</v>
      </c>
      <c r="J125" s="9">
        <v>686220.89524181385</v>
      </c>
      <c r="K125" s="9">
        <v>639854.61853628582</v>
      </c>
      <c r="L125" s="9">
        <v>593488.34183075791</v>
      </c>
      <c r="M125" s="9">
        <v>547122.06512523</v>
      </c>
      <c r="N125" s="9">
        <v>500755.78841970197</v>
      </c>
      <c r="O125" s="31">
        <v>1370</v>
      </c>
      <c r="P125" s="19">
        <v>63483.405557163889</v>
      </c>
      <c r="Q125" s="19">
        <v>60649.324951933355</v>
      </c>
      <c r="R125" s="19">
        <v>57815.244346702821</v>
      </c>
      <c r="S125" s="19">
        <v>54981.163741472294</v>
      </c>
      <c r="T125" s="19">
        <v>52147.083136241767</v>
      </c>
      <c r="U125" s="19">
        <v>49313.002531011232</v>
      </c>
      <c r="V125" s="19">
        <v>46478.921925780698</v>
      </c>
      <c r="W125" s="19">
        <v>43644.841320550171</v>
      </c>
    </row>
    <row r="126" spans="6:23">
      <c r="F126" s="28"/>
      <c r="G126" s="22">
        <v>1100</v>
      </c>
      <c r="H126" s="9">
        <v>774596.84987769672</v>
      </c>
      <c r="I126" s="9">
        <v>729032.32929665572</v>
      </c>
      <c r="J126" s="9">
        <v>683467.80871561472</v>
      </c>
      <c r="K126" s="9">
        <v>637903.28813457373</v>
      </c>
      <c r="L126" s="9">
        <v>592338.76755353273</v>
      </c>
      <c r="M126" s="9">
        <v>546774.24697249173</v>
      </c>
      <c r="N126" s="9">
        <v>501209.72639145079</v>
      </c>
      <c r="O126" s="31">
        <v>1380</v>
      </c>
      <c r="P126" s="19">
        <v>60987.412434997692</v>
      </c>
      <c r="Q126" s="19">
        <v>58288.854362652666</v>
      </c>
      <c r="R126" s="19">
        <v>55590.296290307633</v>
      </c>
      <c r="S126" s="19">
        <v>52891.7382179626</v>
      </c>
      <c r="T126" s="19">
        <v>50193.180145617574</v>
      </c>
      <c r="U126" s="19">
        <v>47494.622073272541</v>
      </c>
      <c r="V126" s="19">
        <v>44796.064000927508</v>
      </c>
      <c r="W126" s="19">
        <v>42097.505928582483</v>
      </c>
    </row>
    <row r="127" spans="6:23">
      <c r="F127" s="28"/>
      <c r="G127" s="21">
        <v>1110</v>
      </c>
      <c r="H127" s="9">
        <v>770279.59106455883</v>
      </c>
      <c r="I127" s="9">
        <v>725495.89390964271</v>
      </c>
      <c r="J127" s="9">
        <v>680712.19675472646</v>
      </c>
      <c r="K127" s="9">
        <v>635928.49959981022</v>
      </c>
      <c r="L127" s="9">
        <v>591144.8024448941</v>
      </c>
      <c r="M127" s="9">
        <v>546361.10528997774</v>
      </c>
      <c r="N127" s="9">
        <v>501577.40813506162</v>
      </c>
      <c r="O127" s="31">
        <v>1390</v>
      </c>
      <c r="P127" s="19">
        <v>58584.966484521239</v>
      </c>
      <c r="Q127" s="19">
        <v>56015.450410638732</v>
      </c>
      <c r="R127" s="19">
        <v>53445.934336756218</v>
      </c>
      <c r="S127" s="19">
        <v>50876.418262873703</v>
      </c>
      <c r="T127" s="19">
        <v>48306.902188991196</v>
      </c>
      <c r="U127" s="19">
        <v>45737.386115108689</v>
      </c>
      <c r="V127" s="19">
        <v>43167.870041226175</v>
      </c>
      <c r="W127" s="19">
        <v>40598.353967343668</v>
      </c>
    </row>
    <row r="128" spans="6:23">
      <c r="F128" s="28"/>
      <c r="G128" s="22">
        <v>1120</v>
      </c>
      <c r="H128" s="9">
        <v>766001.56816678122</v>
      </c>
      <c r="I128" s="9">
        <v>721978.48953650647</v>
      </c>
      <c r="J128" s="9">
        <v>677955.41090623173</v>
      </c>
      <c r="K128" s="9">
        <v>633932.33227595687</v>
      </c>
      <c r="L128" s="9">
        <v>589909.25364568213</v>
      </c>
      <c r="M128" s="9">
        <v>545886.17501540738</v>
      </c>
      <c r="N128" s="9">
        <v>501863.09638513252</v>
      </c>
      <c r="O128" s="31">
        <v>1400</v>
      </c>
      <c r="P128" s="19">
        <v>56272.828514182074</v>
      </c>
      <c r="Q128" s="19">
        <v>53826.183796174162</v>
      </c>
      <c r="R128" s="19">
        <v>51379.539078166243</v>
      </c>
      <c r="S128" s="19">
        <v>48932.894360158331</v>
      </c>
      <c r="T128" s="19">
        <v>46486.249642150411</v>
      </c>
      <c r="U128" s="19">
        <v>44039.604924142492</v>
      </c>
      <c r="V128" s="19">
        <v>41592.960206134579</v>
      </c>
      <c r="W128" s="19">
        <v>39146.315488126667</v>
      </c>
    </row>
    <row r="129" spans="6:23">
      <c r="F129" s="28"/>
      <c r="G129" s="21">
        <v>1130</v>
      </c>
      <c r="H129" s="9">
        <v>761762.64922617911</v>
      </c>
      <c r="I129" s="9">
        <v>718480.68052014615</v>
      </c>
      <c r="J129" s="9">
        <v>675198.71181411319</v>
      </c>
      <c r="K129" s="9">
        <v>631916.74310808035</v>
      </c>
      <c r="L129" s="9">
        <v>588634.77440204751</v>
      </c>
      <c r="M129" s="9">
        <v>545352.80569601455</v>
      </c>
      <c r="N129" s="9">
        <v>502070.8369899817</v>
      </c>
      <c r="O129" s="31">
        <v>1410</v>
      </c>
      <c r="P129" s="19">
        <v>54047.855212276816</v>
      </c>
      <c r="Q129" s="19">
        <v>51718.206280713166</v>
      </c>
      <c r="R129" s="19">
        <v>49388.557349149509</v>
      </c>
      <c r="S129" s="19">
        <v>47058.908417585852</v>
      </c>
      <c r="T129" s="19">
        <v>44729.259486022194</v>
      </c>
      <c r="U129" s="19">
        <v>42399.610554458537</v>
      </c>
      <c r="V129" s="19">
        <v>40069.961622894887</v>
      </c>
      <c r="W129" s="19">
        <v>37740.31269133123</v>
      </c>
    </row>
    <row r="130" spans="6:23">
      <c r="F130" s="28"/>
      <c r="G130" s="22">
        <v>1140</v>
      </c>
      <c r="H130" s="9">
        <v>757562.67692160793</v>
      </c>
      <c r="I130" s="9">
        <v>715002.9759709558</v>
      </c>
      <c r="J130" s="9">
        <v>672443.27502030367</v>
      </c>
      <c r="K130" s="9">
        <v>629883.57406965154</v>
      </c>
      <c r="L130" s="9">
        <v>587323.87311899941</v>
      </c>
      <c r="M130" s="9">
        <v>544764.17216834729</v>
      </c>
      <c r="N130" s="9">
        <v>502204.4712176951</v>
      </c>
      <c r="O130" s="31">
        <v>1420</v>
      </c>
      <c r="P130" s="19">
        <v>51906.997384098402</v>
      </c>
      <c r="Q130" s="19">
        <v>49688.749632641207</v>
      </c>
      <c r="R130" s="19">
        <v>47470.501881184013</v>
      </c>
      <c r="S130" s="19">
        <v>45252.254129726818</v>
      </c>
      <c r="T130" s="19">
        <v>43034.006378269623</v>
      </c>
      <c r="U130" s="19">
        <v>40815.758626812421</v>
      </c>
      <c r="V130" s="19">
        <v>38597.510875355227</v>
      </c>
      <c r="W130" s="19">
        <v>36379.263123898025</v>
      </c>
    </row>
    <row r="131" spans="6:23">
      <c r="F131" s="28"/>
      <c r="G131" s="21">
        <v>1150</v>
      </c>
      <c r="H131" s="9">
        <v>753401.47091788054</v>
      </c>
      <c r="I131" s="9">
        <v>711545.83364466496</v>
      </c>
      <c r="J131" s="9">
        <v>669690.19637144939</v>
      </c>
      <c r="K131" s="9">
        <v>627834.55909823382</v>
      </c>
      <c r="L131" s="9">
        <v>585978.92182501825</v>
      </c>
      <c r="M131" s="9">
        <v>544123.28455180267</v>
      </c>
      <c r="N131" s="9">
        <v>502267.64727858704</v>
      </c>
      <c r="O131" s="31">
        <v>1430</v>
      </c>
      <c r="P131" s="19">
        <v>49847.298138434911</v>
      </c>
      <c r="Q131" s="19">
        <v>47735.124488501227</v>
      </c>
      <c r="R131" s="19">
        <v>45622.950838567544</v>
      </c>
      <c r="S131" s="19">
        <v>43510.77718863386</v>
      </c>
      <c r="T131" s="19">
        <v>41398.603538700176</v>
      </c>
      <c r="U131" s="19">
        <v>39286.429888766499</v>
      </c>
      <c r="V131" s="19">
        <v>37174.256238832815</v>
      </c>
      <c r="W131" s="19">
        <v>35062.082588899131</v>
      </c>
    </row>
    <row r="132" spans="6:23">
      <c r="F132" s="28"/>
      <c r="G132" s="22">
        <v>1160</v>
      </c>
      <c r="H132" s="9">
        <v>749278.8300310059</v>
      </c>
      <c r="I132" s="9">
        <v>708109.66354578582</v>
      </c>
      <c r="J132" s="9">
        <v>666940.49706056574</v>
      </c>
      <c r="K132" s="9">
        <v>625771.33057534555</v>
      </c>
      <c r="L132" s="9">
        <v>584602.16409012547</v>
      </c>
      <c r="M132" s="9">
        <v>543432.99760490539</v>
      </c>
      <c r="N132" s="9">
        <v>502263.83111968526</v>
      </c>
      <c r="O132" s="31">
        <v>1440</v>
      </c>
      <c r="P132" s="19">
        <v>47865.891032295774</v>
      </c>
      <c r="Q132" s="19">
        <v>45854.719140182504</v>
      </c>
      <c r="R132" s="19">
        <v>43843.547248069241</v>
      </c>
      <c r="S132" s="19">
        <v>41832.37535595597</v>
      </c>
      <c r="T132" s="19">
        <v>39821.203463842699</v>
      </c>
      <c r="U132" s="19">
        <v>37810.031571729436</v>
      </c>
      <c r="V132" s="19">
        <v>35798.859679616173</v>
      </c>
      <c r="W132" s="19">
        <v>33787.687787502902</v>
      </c>
    </row>
    <row r="133" spans="6:23">
      <c r="F133" s="28"/>
      <c r="G133" s="21">
        <v>1170</v>
      </c>
      <c r="H133" s="9">
        <v>745194.53422437236</v>
      </c>
      <c r="I133" s="9">
        <v>704694.8312773956</v>
      </c>
      <c r="J133" s="9">
        <v>664195.12833041884</v>
      </c>
      <c r="K133" s="9">
        <v>623695.42538344208</v>
      </c>
      <c r="L133" s="9">
        <v>583195.72243646532</v>
      </c>
      <c r="M133" s="9">
        <v>542696.01948948856</v>
      </c>
      <c r="N133" s="9">
        <v>502196.31654251181</v>
      </c>
      <c r="O133" s="31">
        <v>1450</v>
      </c>
      <c r="P133" s="19">
        <v>45959.998182006995</v>
      </c>
      <c r="Q133" s="19">
        <v>44044.998257756706</v>
      </c>
      <c r="R133" s="19">
        <v>42129.998333506417</v>
      </c>
      <c r="S133" s="19">
        <v>40214.998409256121</v>
      </c>
      <c r="T133" s="19">
        <v>38299.998485005832</v>
      </c>
      <c r="U133" s="19">
        <v>36384.998560755543</v>
      </c>
      <c r="V133" s="19">
        <v>34469.998636505246</v>
      </c>
      <c r="W133" s="19">
        <v>32554.998712254957</v>
      </c>
    </row>
    <row r="134" spans="6:23">
      <c r="F134" s="28"/>
      <c r="G134" s="22">
        <v>1180</v>
      </c>
      <c r="H134" s="9">
        <v>741148.34644922696</v>
      </c>
      <c r="I134" s="9">
        <v>701301.66115625773</v>
      </c>
      <c r="J134" s="9">
        <v>661454.97586328862</v>
      </c>
      <c r="K134" s="9">
        <v>621608.2905703194</v>
      </c>
      <c r="L134" s="9">
        <v>581761.60527735017</v>
      </c>
      <c r="M134" s="9">
        <v>541914.91998438095</v>
      </c>
      <c r="N134" s="9">
        <v>502068.23469141178</v>
      </c>
      <c r="O134" s="31">
        <v>1460</v>
      </c>
      <c r="P134" s="19">
        <v>44126.928348133675</v>
      </c>
      <c r="Q134" s="19">
        <v>42303.501556888485</v>
      </c>
      <c r="R134" s="19">
        <v>40480.074765643287</v>
      </c>
      <c r="S134" s="19">
        <v>38656.647974398096</v>
      </c>
      <c r="T134" s="19">
        <v>36833.221183152898</v>
      </c>
      <c r="U134" s="19">
        <v>35009.794391907708</v>
      </c>
      <c r="V134" s="19">
        <v>33186.367600662517</v>
      </c>
      <c r="W134" s="19">
        <v>31362.940809417323</v>
      </c>
    </row>
    <row r="135" spans="6:23">
      <c r="F135" s="28"/>
      <c r="G135" s="21">
        <v>1190</v>
      </c>
      <c r="H135" s="9">
        <v>737140.01434168802</v>
      </c>
      <c r="I135" s="9">
        <v>697930.43911074719</v>
      </c>
      <c r="J135" s="9">
        <v>658720.86387980636</v>
      </c>
      <c r="K135" s="9">
        <v>619511.28864886542</v>
      </c>
      <c r="L135" s="9">
        <v>580301.71341792459</v>
      </c>
      <c r="M135" s="9">
        <v>541092.13818698376</v>
      </c>
      <c r="N135" s="9">
        <v>501882.56295604288</v>
      </c>
      <c r="O135" s="31">
        <v>1470</v>
      </c>
      <c r="P135" s="19">
        <v>42364.075001052996</v>
      </c>
      <c r="Q135" s="19">
        <v>40627.842419042623</v>
      </c>
      <c r="R135" s="19">
        <v>38891.609837032258</v>
      </c>
      <c r="S135" s="19">
        <v>37155.377255021886</v>
      </c>
      <c r="T135" s="19">
        <v>35419.14467301152</v>
      </c>
      <c r="U135" s="19">
        <v>33682.912091001155</v>
      </c>
      <c r="V135" s="19">
        <v>31946.679508990783</v>
      </c>
      <c r="W135" s="19">
        <v>30210.446926980414</v>
      </c>
    </row>
    <row r="136" spans="6:23">
      <c r="F136" s="28"/>
      <c r="G136" s="22">
        <v>1200</v>
      </c>
      <c r="H136" s="9">
        <v>733169.27178756287</v>
      </c>
      <c r="I136" s="9">
        <v>694581.41537769116</v>
      </c>
      <c r="J136" s="9">
        <v>655993.55896781944</v>
      </c>
      <c r="K136" s="9">
        <v>617405.70255794772</v>
      </c>
      <c r="L136" s="9">
        <v>578817.846148076</v>
      </c>
      <c r="M136" s="9">
        <v>540229.98973820428</v>
      </c>
      <c r="N136" s="9">
        <v>501642.13332833251</v>
      </c>
      <c r="O136" s="31">
        <v>1480</v>
      </c>
      <c r="P136" s="19">
        <v>40668.914373406413</v>
      </c>
      <c r="Q136" s="19">
        <v>39015.706472048434</v>
      </c>
      <c r="R136" s="19">
        <v>37362.498570690448</v>
      </c>
      <c r="S136" s="19">
        <v>35709.290669332462</v>
      </c>
      <c r="T136" s="19">
        <v>34056.082767974476</v>
      </c>
      <c r="U136" s="19">
        <v>32402.874866616494</v>
      </c>
      <c r="V136" s="19">
        <v>30749.666965258508</v>
      </c>
      <c r="W136" s="19">
        <v>29096.459063900526</v>
      </c>
    </row>
    <row r="137" spans="6:23">
      <c r="G137" s="9"/>
    </row>
    <row r="138" spans="6:23">
      <c r="G138" s="9"/>
    </row>
    <row r="139" spans="6:23">
      <c r="G139" s="9"/>
    </row>
    <row r="140" spans="6:23">
      <c r="G140" s="9"/>
    </row>
    <row r="141" spans="6:23">
      <c r="G141" s="9"/>
    </row>
    <row r="142" spans="6:23">
      <c r="G142" s="9"/>
    </row>
    <row r="143" spans="6:23">
      <c r="G143" s="9"/>
    </row>
    <row r="144" spans="6:23">
      <c r="G144" s="9"/>
    </row>
    <row r="145" spans="7:7">
      <c r="G145" s="9"/>
    </row>
    <row r="146" spans="7:7">
      <c r="G146" s="9"/>
    </row>
    <row r="147" spans="7:7">
      <c r="G147" s="9"/>
    </row>
    <row r="148" spans="7:7">
      <c r="G148" s="9"/>
    </row>
    <row r="149" spans="7:7">
      <c r="G149" s="9"/>
    </row>
    <row r="150" spans="7:7">
      <c r="G150" s="9"/>
    </row>
    <row r="151" spans="7:7">
      <c r="G151" s="9"/>
    </row>
    <row r="152" spans="7:7">
      <c r="G152" s="9"/>
    </row>
  </sheetData>
  <mergeCells count="11">
    <mergeCell ref="N2:O2"/>
    <mergeCell ref="O12:W12"/>
    <mergeCell ref="N15:N33"/>
    <mergeCell ref="A39:B39"/>
    <mergeCell ref="G40:N40"/>
    <mergeCell ref="F41:F136"/>
    <mergeCell ref="A19:B19"/>
    <mergeCell ref="C19:D19"/>
    <mergeCell ref="E19:F19"/>
    <mergeCell ref="A23:C23"/>
    <mergeCell ref="F23:H23"/>
  </mergeCells>
  <conditionalFormatting sqref="G137:G152">
    <cfRule type="top10" dxfId="28" priority="19" rank="1"/>
    <cfRule type="top10" dxfId="27" priority="20" rank="1"/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2:H136">
    <cfRule type="top10" dxfId="26" priority="13" rank="1"/>
  </conditionalFormatting>
  <conditionalFormatting sqref="I42:I136">
    <cfRule type="top10" dxfId="25" priority="12" rank="1"/>
  </conditionalFormatting>
  <conditionalFormatting sqref="J42:J136">
    <cfRule type="top10" dxfId="24" priority="11" rank="1"/>
  </conditionalFormatting>
  <conditionalFormatting sqref="K42:K136">
    <cfRule type="top10" dxfId="23" priority="10" rank="1"/>
  </conditionalFormatting>
  <conditionalFormatting sqref="L42:L136">
    <cfRule type="top10" dxfId="22" priority="9" rank="1"/>
  </conditionalFormatting>
  <conditionalFormatting sqref="M42:M136">
    <cfRule type="top10" dxfId="21" priority="8" rank="1"/>
  </conditionalFormatting>
  <conditionalFormatting sqref="N42:N136">
    <cfRule type="top10" dxfId="20" priority="7" rank="1"/>
  </conditionalFormatting>
  <conditionalFormatting sqref="P14:P136">
    <cfRule type="top10" dxfId="19" priority="6" rank="1"/>
  </conditionalFormatting>
  <conditionalFormatting sqref="Q14:Q136">
    <cfRule type="top10" dxfId="18" priority="5" rank="1"/>
  </conditionalFormatting>
  <conditionalFormatting sqref="R14:R136">
    <cfRule type="top10" dxfId="17" priority="4" rank="1"/>
    <cfRule type="top10" dxfId="16" priority="3" rank="1"/>
  </conditionalFormatting>
  <conditionalFormatting sqref="S14:S136">
    <cfRule type="top10" dxfId="15" priority="2" rank="1"/>
  </conditionalFormatting>
  <conditionalFormatting sqref="T14:T136">
    <cfRule type="top10" dxfId="0" priority="1" rank="1"/>
  </conditionalFormatting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Shubhendra Kumar</dc:creator>
  <cp:lastModifiedBy>Shubhendra Kumar</cp:lastModifiedBy>
  <dcterms:created xsi:type="dcterms:W3CDTF">2024-12-17T16:58:09Z</dcterms:created>
  <dcterms:modified xsi:type="dcterms:W3CDTF">2024-12-18T10:34:13Z</dcterms:modified>
</cp:coreProperties>
</file>